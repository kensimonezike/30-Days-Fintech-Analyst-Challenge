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kensimon/Desktop/Learn Data Analysis/Day 1/"/>
    </mc:Choice>
  </mc:AlternateContent>
  <xr:revisionPtr revIDLastSave="0" documentId="13_ncr:1_{8252B7E5-AFCD-3B44-9D3C-AF915B1AF917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transactions_jan2024" sheetId="1" r:id="rId1"/>
    <sheet name="data_profile" sheetId="2" r:id="rId2"/>
    <sheet name="analyst_summary" sheetId="3" r:id="rId3"/>
    <sheet name="quick_sta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1" i="1" l="1"/>
  <c r="N18" i="1"/>
  <c r="B8" i="4"/>
  <c r="C7" i="4"/>
  <c r="B7" i="4"/>
  <c r="C6" i="4"/>
  <c r="B6" i="4"/>
  <c r="C4" i="4"/>
  <c r="B4" i="4"/>
  <c r="C3" i="4"/>
  <c r="B3" i="4"/>
  <c r="E10" i="2"/>
  <c r="D10" i="2"/>
  <c r="C10" i="2"/>
  <c r="E9" i="2"/>
  <c r="D9" i="2"/>
  <c r="C9" i="2"/>
  <c r="E8" i="2"/>
  <c r="D8" i="2"/>
  <c r="C8" i="2"/>
  <c r="G7" i="2"/>
  <c r="F7" i="2"/>
  <c r="E7" i="2"/>
  <c r="D7" i="2"/>
  <c r="C7" i="2"/>
  <c r="E6" i="2"/>
  <c r="D6" i="2"/>
  <c r="C6" i="2"/>
  <c r="G5" i="2"/>
  <c r="F5" i="2"/>
  <c r="E5" i="2"/>
  <c r="D5" i="2"/>
  <c r="C5" i="2"/>
  <c r="E4" i="2"/>
  <c r="D4" i="2"/>
  <c r="C4" i="2"/>
  <c r="E3" i="2"/>
  <c r="D3" i="2"/>
  <c r="C3" i="2"/>
  <c r="M51" i="1"/>
  <c r="L51" i="1"/>
  <c r="K51" i="1"/>
  <c r="J51" i="1"/>
  <c r="I51" i="1"/>
  <c r="N51" i="1" s="1"/>
  <c r="M50" i="1"/>
  <c r="L50" i="1"/>
  <c r="K50" i="1"/>
  <c r="J50" i="1"/>
  <c r="I50" i="1"/>
  <c r="N50" i="1" s="1"/>
  <c r="M49" i="1"/>
  <c r="N49" i="1" s="1"/>
  <c r="L49" i="1"/>
  <c r="K49" i="1"/>
  <c r="J49" i="1"/>
  <c r="I49" i="1"/>
  <c r="M48" i="1"/>
  <c r="L48" i="1"/>
  <c r="K48" i="1"/>
  <c r="N48" i="1" s="1"/>
  <c r="J48" i="1"/>
  <c r="I48" i="1"/>
  <c r="M47" i="1"/>
  <c r="L47" i="1"/>
  <c r="K47" i="1"/>
  <c r="J47" i="1"/>
  <c r="I47" i="1"/>
  <c r="N47" i="1" s="1"/>
  <c r="M46" i="1"/>
  <c r="L46" i="1"/>
  <c r="K46" i="1"/>
  <c r="J46" i="1"/>
  <c r="I46" i="1"/>
  <c r="N46" i="1" s="1"/>
  <c r="M45" i="1"/>
  <c r="N45" i="1" s="1"/>
  <c r="L45" i="1"/>
  <c r="K45" i="1"/>
  <c r="J45" i="1"/>
  <c r="I45" i="1"/>
  <c r="M44" i="1"/>
  <c r="L44" i="1"/>
  <c r="K44" i="1"/>
  <c r="N44" i="1" s="1"/>
  <c r="J44" i="1"/>
  <c r="I44" i="1"/>
  <c r="M43" i="1"/>
  <c r="L43" i="1"/>
  <c r="K43" i="1"/>
  <c r="J43" i="1"/>
  <c r="I43" i="1"/>
  <c r="N43" i="1" s="1"/>
  <c r="M42" i="1"/>
  <c r="L42" i="1"/>
  <c r="K42" i="1"/>
  <c r="J42" i="1"/>
  <c r="I42" i="1"/>
  <c r="N42" i="1" s="1"/>
  <c r="M41" i="1"/>
  <c r="N41" i="1" s="1"/>
  <c r="L41" i="1"/>
  <c r="K41" i="1"/>
  <c r="J41" i="1"/>
  <c r="I41" i="1"/>
  <c r="M40" i="1"/>
  <c r="L40" i="1"/>
  <c r="K40" i="1"/>
  <c r="N40" i="1" s="1"/>
  <c r="J40" i="1"/>
  <c r="I40" i="1"/>
  <c r="M39" i="1"/>
  <c r="L39" i="1"/>
  <c r="K39" i="1"/>
  <c r="J39" i="1"/>
  <c r="I39" i="1"/>
  <c r="N39" i="1" s="1"/>
  <c r="M38" i="1"/>
  <c r="L38" i="1"/>
  <c r="K38" i="1"/>
  <c r="J38" i="1"/>
  <c r="I38" i="1"/>
  <c r="N38" i="1" s="1"/>
  <c r="M37" i="1"/>
  <c r="N37" i="1" s="1"/>
  <c r="L37" i="1"/>
  <c r="K37" i="1"/>
  <c r="J37" i="1"/>
  <c r="I37" i="1"/>
  <c r="M36" i="1"/>
  <c r="L36" i="1"/>
  <c r="K36" i="1"/>
  <c r="N36" i="1" s="1"/>
  <c r="J36" i="1"/>
  <c r="I36" i="1"/>
  <c r="M35" i="1"/>
  <c r="L35" i="1"/>
  <c r="K35" i="1"/>
  <c r="J35" i="1"/>
  <c r="I35" i="1"/>
  <c r="N35" i="1" s="1"/>
  <c r="M34" i="1"/>
  <c r="L34" i="1"/>
  <c r="K34" i="1"/>
  <c r="J34" i="1"/>
  <c r="I34" i="1"/>
  <c r="N34" i="1" s="1"/>
  <c r="M33" i="1"/>
  <c r="N33" i="1" s="1"/>
  <c r="L33" i="1"/>
  <c r="K33" i="1"/>
  <c r="J33" i="1"/>
  <c r="I33" i="1"/>
  <c r="M32" i="1"/>
  <c r="L32" i="1"/>
  <c r="K32" i="1"/>
  <c r="N32" i="1" s="1"/>
  <c r="J32" i="1"/>
  <c r="I32" i="1"/>
  <c r="M31" i="1"/>
  <c r="L31" i="1"/>
  <c r="K31" i="1"/>
  <c r="J31" i="1"/>
  <c r="I31" i="1"/>
  <c r="N31" i="1" s="1"/>
  <c r="M30" i="1"/>
  <c r="L30" i="1"/>
  <c r="K30" i="1"/>
  <c r="J30" i="1"/>
  <c r="I30" i="1"/>
  <c r="N30" i="1" s="1"/>
  <c r="M29" i="1"/>
  <c r="N29" i="1" s="1"/>
  <c r="L29" i="1"/>
  <c r="K29" i="1"/>
  <c r="J29" i="1"/>
  <c r="I29" i="1"/>
  <c r="M28" i="1"/>
  <c r="L28" i="1"/>
  <c r="K28" i="1"/>
  <c r="N28" i="1" s="1"/>
  <c r="J28" i="1"/>
  <c r="I28" i="1"/>
  <c r="M27" i="1"/>
  <c r="L27" i="1"/>
  <c r="K27" i="1"/>
  <c r="J27" i="1"/>
  <c r="I27" i="1"/>
  <c r="N27" i="1" s="1"/>
  <c r="M26" i="1"/>
  <c r="L26" i="1"/>
  <c r="K26" i="1"/>
  <c r="J26" i="1"/>
  <c r="I26" i="1"/>
  <c r="N26" i="1" s="1"/>
  <c r="M25" i="1"/>
  <c r="N25" i="1" s="1"/>
  <c r="L25" i="1"/>
  <c r="K25" i="1"/>
  <c r="J25" i="1"/>
  <c r="I25" i="1"/>
  <c r="M24" i="1"/>
  <c r="L24" i="1"/>
  <c r="K24" i="1"/>
  <c r="N24" i="1" s="1"/>
  <c r="J24" i="1"/>
  <c r="I24" i="1"/>
  <c r="M23" i="1"/>
  <c r="L23" i="1"/>
  <c r="K23" i="1"/>
  <c r="J23" i="1"/>
  <c r="I23" i="1"/>
  <c r="N23" i="1" s="1"/>
  <c r="M22" i="1"/>
  <c r="L22" i="1"/>
  <c r="K22" i="1"/>
  <c r="J22" i="1"/>
  <c r="I22" i="1"/>
  <c r="N22" i="1" s="1"/>
  <c r="M21" i="1"/>
  <c r="N21" i="1" s="1"/>
  <c r="L21" i="1"/>
  <c r="K21" i="1"/>
  <c r="J21" i="1"/>
  <c r="I21" i="1"/>
  <c r="M20" i="1"/>
  <c r="L20" i="1"/>
  <c r="K20" i="1"/>
  <c r="J20" i="1"/>
  <c r="I20" i="1"/>
  <c r="N20" i="1" s="1"/>
  <c r="M19" i="1"/>
  <c r="L19" i="1"/>
  <c r="K19" i="1"/>
  <c r="J19" i="1"/>
  <c r="I19" i="1"/>
  <c r="N19" i="1" s="1"/>
  <c r="M18" i="1"/>
  <c r="L18" i="1"/>
  <c r="K18" i="1"/>
  <c r="J18" i="1"/>
  <c r="I18" i="1"/>
  <c r="M17" i="1"/>
  <c r="N17" i="1" s="1"/>
  <c r="L17" i="1"/>
  <c r="K17" i="1"/>
  <c r="J17" i="1"/>
  <c r="I17" i="1"/>
  <c r="M16" i="1"/>
  <c r="L16" i="1"/>
  <c r="K16" i="1"/>
  <c r="J16" i="1"/>
  <c r="I16" i="1"/>
  <c r="N16" i="1" s="1"/>
  <c r="M15" i="1"/>
  <c r="L15" i="1"/>
  <c r="K15" i="1"/>
  <c r="J15" i="1"/>
  <c r="I15" i="1"/>
  <c r="N15" i="1" s="1"/>
  <c r="M14" i="1"/>
  <c r="L14" i="1"/>
  <c r="K14" i="1"/>
  <c r="J14" i="1"/>
  <c r="I14" i="1"/>
  <c r="N14" i="1" s="1"/>
  <c r="M13" i="1"/>
  <c r="N13" i="1" s="1"/>
  <c r="L13" i="1"/>
  <c r="K13" i="1"/>
  <c r="J13" i="1"/>
  <c r="I13" i="1"/>
  <c r="M12" i="1"/>
  <c r="L12" i="1"/>
  <c r="K12" i="1"/>
  <c r="J12" i="1"/>
  <c r="I12" i="1"/>
  <c r="N12" i="1" s="1"/>
  <c r="M11" i="1"/>
  <c r="L11" i="1"/>
  <c r="K11" i="1"/>
  <c r="J11" i="1"/>
  <c r="I11" i="1"/>
  <c r="M10" i="1"/>
  <c r="L10" i="1"/>
  <c r="K10" i="1"/>
  <c r="J10" i="1"/>
  <c r="I10" i="1"/>
  <c r="N10" i="1" s="1"/>
  <c r="N9" i="1"/>
  <c r="M9" i="1"/>
  <c r="L9" i="1"/>
  <c r="K9" i="1"/>
  <c r="J9" i="1"/>
  <c r="I9" i="1"/>
  <c r="M8" i="1"/>
  <c r="L8" i="1"/>
  <c r="K8" i="1"/>
  <c r="J8" i="1"/>
  <c r="I8" i="1"/>
  <c r="N8" i="1" s="1"/>
  <c r="M7" i="1"/>
  <c r="L7" i="1"/>
  <c r="K7" i="1"/>
  <c r="J7" i="1"/>
  <c r="I7" i="1"/>
  <c r="N7" i="1" s="1"/>
  <c r="M6" i="1"/>
  <c r="L6" i="1"/>
  <c r="K6" i="1"/>
  <c r="J6" i="1"/>
  <c r="I6" i="1"/>
  <c r="N6" i="1" s="1"/>
  <c r="M5" i="1"/>
  <c r="N5" i="1" s="1"/>
  <c r="L5" i="1"/>
  <c r="K5" i="1"/>
  <c r="J5" i="1"/>
  <c r="I5" i="1"/>
  <c r="M4" i="1"/>
  <c r="L4" i="1"/>
  <c r="K4" i="1"/>
  <c r="J4" i="1"/>
  <c r="I4" i="1"/>
  <c r="N4" i="1" s="1"/>
  <c r="M3" i="1"/>
  <c r="L3" i="1"/>
  <c r="K3" i="1"/>
  <c r="J3" i="1"/>
  <c r="I3" i="1"/>
  <c r="N3" i="1" s="1"/>
  <c r="M2" i="1"/>
  <c r="L2" i="1"/>
  <c r="K2" i="1"/>
  <c r="J2" i="1"/>
  <c r="I2" i="1"/>
  <c r="N2" i="1" s="1"/>
</calcChain>
</file>

<file path=xl/sharedStrings.xml><?xml version="1.0" encoding="utf-8"?>
<sst xmlns="http://schemas.openxmlformats.org/spreadsheetml/2006/main" count="428" uniqueCount="197">
  <si>
    <t>transaction_id</t>
  </si>
  <si>
    <t>user_id</t>
  </si>
  <si>
    <t>transaction_date</t>
  </si>
  <si>
    <t>transaction_type</t>
  </si>
  <si>
    <t>amount_ngn</t>
  </si>
  <si>
    <t>status</t>
  </si>
  <si>
    <t>channel</t>
  </si>
  <si>
    <t>region</t>
  </si>
  <si>
    <t>FLAG_duplicate_id</t>
  </si>
  <si>
    <t>FLAG_negative_amt</t>
  </si>
  <si>
    <t>FLAG_bad_date</t>
  </si>
  <si>
    <t>FLAG_bad_status</t>
  </si>
  <si>
    <t>FLAG_missing_region</t>
  </si>
  <si>
    <t>ISSUE_SUMMARY</t>
  </si>
  <si>
    <t>TXN-0001</t>
  </si>
  <si>
    <t>USR-3615</t>
  </si>
  <si>
    <t>Transfer</t>
  </si>
  <si>
    <t>Failed</t>
  </si>
  <si>
    <t>Web</t>
  </si>
  <si>
    <t>Lagos</t>
  </si>
  <si>
    <t>TXN-0002</t>
  </si>
  <si>
    <t>USR-1106</t>
  </si>
  <si>
    <t>Deposit</t>
  </si>
  <si>
    <t>Success</t>
  </si>
  <si>
    <t>Ibadan</t>
  </si>
  <si>
    <t>TXN-0003</t>
  </si>
  <si>
    <t>USR-2679</t>
  </si>
  <si>
    <t>Pending</t>
  </si>
  <si>
    <t>USSD</t>
  </si>
  <si>
    <t>TXN-0004</t>
  </si>
  <si>
    <t>USR-2535</t>
  </si>
  <si>
    <t>Withdrawal</t>
  </si>
  <si>
    <t>TXN-0005</t>
  </si>
  <si>
    <t>USR-7873</t>
  </si>
  <si>
    <t>Airtime</t>
  </si>
  <si>
    <t>TXN-0006</t>
  </si>
  <si>
    <t>USR-6574</t>
  </si>
  <si>
    <t>success</t>
  </si>
  <si>
    <t>App</t>
  </si>
  <si>
    <t>Abuja</t>
  </si>
  <si>
    <t>TXN-0007</t>
  </si>
  <si>
    <t>USR-4527</t>
  </si>
  <si>
    <t>Agent</t>
  </si>
  <si>
    <t>USR-2424</t>
  </si>
  <si>
    <t>Kano</t>
  </si>
  <si>
    <t>TXN-0009</t>
  </si>
  <si>
    <t>USR-9935</t>
  </si>
  <si>
    <t>TXN-0010</t>
  </si>
  <si>
    <t>USR-7924</t>
  </si>
  <si>
    <t>TXN-0011</t>
  </si>
  <si>
    <t>USR-5552</t>
  </si>
  <si>
    <t>TXN-0012</t>
  </si>
  <si>
    <t>USR-7912</t>
  </si>
  <si>
    <t>TXN-0013</t>
  </si>
  <si>
    <t>Bill Payment</t>
  </si>
  <si>
    <t>SUCCESS</t>
  </si>
  <si>
    <t>TXN-0014</t>
  </si>
  <si>
    <t>TXN-0015</t>
  </si>
  <si>
    <t>TXN-0016</t>
  </si>
  <si>
    <t>USR-8359</t>
  </si>
  <si>
    <t>TXN-0017</t>
  </si>
  <si>
    <t>TXN-0018</t>
  </si>
  <si>
    <t>TXN-0019</t>
  </si>
  <si>
    <t>USR-5506</t>
  </si>
  <si>
    <t>TXN-0020</t>
  </si>
  <si>
    <t>TXN-0021</t>
  </si>
  <si>
    <t>Port Harcourt</t>
  </si>
  <si>
    <t>TXN-0023</t>
  </si>
  <si>
    <t>TXN-0024</t>
  </si>
  <si>
    <t>USR-4811</t>
  </si>
  <si>
    <t>TXN-0025</t>
  </si>
  <si>
    <t>USR-3286</t>
  </si>
  <si>
    <t>failed</t>
  </si>
  <si>
    <t>TXN-0026</t>
  </si>
  <si>
    <t>TXN-0027</t>
  </si>
  <si>
    <t>TXN-0028</t>
  </si>
  <si>
    <t>USR-1409</t>
  </si>
  <si>
    <t>TXN-0029</t>
  </si>
  <si>
    <t>TXN-0030</t>
  </si>
  <si>
    <t>TXN-0031</t>
  </si>
  <si>
    <t>TXN-0032</t>
  </si>
  <si>
    <t>USR-4257</t>
  </si>
  <si>
    <t>TXN-0033</t>
  </si>
  <si>
    <t>TXN-0034</t>
  </si>
  <si>
    <t>USR-3547</t>
  </si>
  <si>
    <t>TXN-0035</t>
  </si>
  <si>
    <t>TXN-0036</t>
  </si>
  <si>
    <t>TXN-0037</t>
  </si>
  <si>
    <t>TXN-0038</t>
  </si>
  <si>
    <t>TXN-0039</t>
  </si>
  <si>
    <t>PENDING</t>
  </si>
  <si>
    <t>TXN-0040</t>
  </si>
  <si>
    <t>TXN-0041</t>
  </si>
  <si>
    <t>TXN-0042</t>
  </si>
  <si>
    <t>TXN-0043</t>
  </si>
  <si>
    <t>USR-1520</t>
  </si>
  <si>
    <t>TXN-0044</t>
  </si>
  <si>
    <t>USR-5012</t>
  </si>
  <si>
    <t>TXN-0045</t>
  </si>
  <si>
    <t>TXN-0046</t>
  </si>
  <si>
    <t>TXN-0047</t>
  </si>
  <si>
    <t>USR-4582</t>
  </si>
  <si>
    <t>TXN-0048</t>
  </si>
  <si>
    <t>TXN-0049</t>
  </si>
  <si>
    <t>TXN-0050</t>
  </si>
  <si>
    <t>Column Name</t>
  </si>
  <si>
    <t>Data Type</t>
  </si>
  <si>
    <t>Total Values</t>
  </si>
  <si>
    <t>Blank / Null Count</t>
  </si>
  <si>
    <t>Unique Value Count</t>
  </si>
  <si>
    <t>Min Value</t>
  </si>
  <si>
    <t>Max Value</t>
  </si>
  <si>
    <t>Average / Notes</t>
  </si>
  <si>
    <t>Issues Found?</t>
  </si>
  <si>
    <t>Text / String</t>
  </si>
  <si>
    <t>Customer IDs. Multiple transactions per user is expected behaviour.</t>
  </si>
  <si>
    <t>Date</t>
  </si>
  <si>
    <t>5 types: Transfer, Airtime, Bill Payment, Withdrawal, Deposit. All correctly cased.</t>
  </si>
  <si>
    <t>Number (₦)</t>
  </si>
  <si>
    <t>Range ₦500–₦500,000 EXCEPT rows 10 &amp; 34 which are negative. MIN reflects this.</t>
  </si>
  <si>
    <t>N/A</t>
  </si>
  <si>
    <t>Should be 3 values: Success, Failed, Pending. Found 8 due to casing errors: 'success', 'SUCCESS', 'failed', 'PENDING'. Rows affected: 6, 13, 25, 39, 44.</t>
  </si>
  <si>
    <t>4 channels: App, USSD, Web, Agent. All consistent and correctly cased.</t>
  </si>
  <si>
    <t>PalmPay Analytics — January 2024 Dataset Review</t>
  </si>
  <si>
    <t>Analyst: Junior Data Analyst  |  Date: January 2024  |  Status: Draft</t>
  </si>
  <si>
    <t>SECTION 1 — DATASET OVERVIEW</t>
  </si>
  <si>
    <t>Dataset Name</t>
  </si>
  <si>
    <t>palmpay_transactions_jan2024.xlsx</t>
  </si>
  <si>
    <t>Time Period Covered</t>
  </si>
  <si>
    <t>January 1–31, 2024. NOTE: One row contains 17-Jan-2004 which is a data entry error — it should be 2024.</t>
  </si>
  <si>
    <t>Total Records (rows)</t>
  </si>
  <si>
    <t>50 transaction records (rows 2–51 in Excel, excluding the header row)</t>
  </si>
  <si>
    <t>Total Columns</t>
  </si>
  <si>
    <t>8 columns: transaction_id, user_id, transaction_date, transaction_type, amount_ngn, status, channel, region</t>
  </si>
  <si>
    <t>What does ONE row represent?</t>
  </si>
  <si>
    <t>One individual financial transaction made by one customer on one date via one channel. Example: A transfer of ₦29,900 by USR-3615 on 1-Jan-2024 via Web in Lagos. This is the grain of the data — understanding this prevents miscounting.</t>
  </si>
  <si>
    <t>Key dimensions available</t>
  </si>
  <si>
    <t>WHO: user_id (customer identity)
WHAT: transaction_type (Transfer/Airtime/Bill Payment/Withdrawal/Deposit), amount_ngn (value in ₦)
WHEN: transaction_date (Jan 2024)
HOW: channel (App / USSD / Web / Agent)
WHERE: region (Lagos / Abuja / Kano / Port Harcourt / Ibadan)
OUTCOME: status (Success / Failed / Pending)</t>
  </si>
  <si>
    <t>SECTION 2 — DATA QUALITY ISSUES FOUND</t>
  </si>
  <si>
    <t>Issue 1 — Duplicate Transaction IDs</t>
  </si>
  <si>
    <t>2 duplicate IDs found:
• TXN-0003 appears in rows 3 AND 8 (two completely different transactions with the same ID)
• TXN-0015 appears in rows 15 AND 22
Business Risk: If we SUM revenue or COUNT transactions, these will be double-counted. Could inflate total transaction volume by over ₦700,000.</t>
  </si>
  <si>
    <t>Issue 2 — Missing Region Values</t>
  </si>
  <si>
    <t>5 rows have NULL/blank region: rows 5, 12, 20, 29, and 37.
Business Risk: Any regional performance report (e.g. Lagos vs Kano) will silently exclude these 5 transactions. Regional totals will be wrong without any error message.</t>
  </si>
  <si>
    <t>Issue 3 — Negative Transaction Amounts</t>
  </si>
  <si>
    <t>2 rows have negative amounts:
• Row 10: ₦-250,080 (USR-7924, Withdrawal via Web)
• Row 34: ₦-439,240 (USR-3547, Bill Payment via Web)
Business Risk: A SUM of all amounts gives incorrect total volume. These may be reversals, refunds, or system errors — must be confirmed before any calculation.</t>
  </si>
  <si>
    <t>Issue 4 — Inconsistent Status Casing</t>
  </si>
  <si>
    <t>The status column should only contain: Success, Failed, Pending (title case).
Found 5 rows using wrong casing: 'success' (rows 6, 44), 'SUCCESS' (row 13), 'failed' (row 25), 'PENDING' (row 39).
Business Risk: =COUNTIF(F:F,"Success") will UNDERCOUNT successes — missing all lowercase/uppercase variants. Every KPI based on this column (success rate, failure rate) will be inaccurate.</t>
  </si>
  <si>
    <t>Issue 5 — Date Outlier</t>
  </si>
  <si>
    <t>Row 17 contains a transaction date of 17-Jan-2004 — exactly 20 years before the rest of the dataset.
Business Risk: MIN(date) returns 2004. Daily trend charts will have a phantom data point 20 years back. Time-series analysis will appear broken.</t>
  </si>
  <si>
    <t>Overall Data Readiness</t>
  </si>
  <si>
    <t>⚠ NOT READY FOR ANALYSIS. Must fix before drawing conclusions:
1. Standardise status casing — use PROPER() or UPPER() function
2. Investigate the 2 negative amounts — confirm if reversals or errors
3. Correct or exclude the 2004 date outlier in row 17
4. Resolve the 2 duplicate transaction IDs — determine which record is correct
5. Recover the 5 missing region values from source systems if possible
Data can be used for rough directional analysis ONLY with all caveats documented.</t>
  </si>
  <si>
    <t>SECTION 3 — THREE BUSINESS QUESTIONS THIS DATA CAN ANSWER</t>
  </si>
  <si>
    <t>Business Question 1</t>
  </si>
  <si>
    <t>Which transaction channel (App, USSD, Web, Agent) had the highest failure rate in January 2024?</t>
  </si>
  <si>
    <t>Why it matters</t>
  </si>
  <si>
    <t>If USSD has a 40% failure rate vs App's 10%, the product and engineering teams know exactly where to invest. Customers on failing channels churn. This directly impacts Monthly Active Users (MAU).</t>
  </si>
  <si>
    <t>Business Question 2</t>
  </si>
  <si>
    <t>Which region generated the highest total transaction volume (₦) — and which region had the most failed transactions in January 2024?</t>
  </si>
  <si>
    <t>High volume + high failure rate in the same region signals an infrastructure or network reliability problem. This guides where operations and engineering should focus to protect revenue.</t>
  </si>
  <si>
    <t>Business Question 3</t>
  </si>
  <si>
    <t>What is the success rate per transaction type — and which type accounts for the largest share of total transaction value?</t>
  </si>
  <si>
    <t>If Bill Payments fail 30% of the time but represent 50% of total revenue processed, that is the single highest-priority product fix. Combines reliability analysis with revenue impact — the language of executives.</t>
  </si>
  <si>
    <t>⚡ BONUS QUICK STATS — Excel Formula Answers</t>
  </si>
  <si>
    <t>Question</t>
  </si>
  <si>
    <t>Excel Formula</t>
  </si>
  <si>
    <t>Answer</t>
  </si>
  <si>
    <t>Explanation</t>
  </si>
  <si>
    <t>Total transaction volume (₦ sum of all amounts)</t>
  </si>
  <si>
    <t>SUM adds every value including the 2 negatives. Clean data first for true gross volume.</t>
  </si>
  <si>
    <t>% of transactions that were Successful</t>
  </si>
  <si>
    <t>⚠ Undercounts! Casing errors mean 'success'/'SUCCESS' are missed. Clean status first.</t>
  </si>
  <si>
    <t>Most frequent transaction type</t>
  </si>
  <si>
    <t>Use COUNTIF for each type separately</t>
  </si>
  <si>
    <t>Airtime (12 transactions)</t>
  </si>
  <si>
    <t>No single formula gives text mode. Use COUNTIF per type: =COUNTIF(D2:D51,"Airtime") etc.</t>
  </si>
  <si>
    <t>Average transaction amount — Withdrawals only</t>
  </si>
  <si>
    <t>AVERAGEIF filters rows where type=Withdrawal before averaging. Correct approach.</t>
  </si>
  <si>
    <t>Count of unique users</t>
  </si>
  <si>
    <t>SUMPRODUCT(1/COUNTIF) divides 1 by frequency of each value then sums — elegant unique count trick.</t>
  </si>
  <si>
    <t>Channel with most failed transactions</t>
  </si>
  <si>
    <t>Web — 5 failed transactions</t>
  </si>
  <si>
    <t>Use COUNTIFS with two criteria: channel AND status=Failed. Run for all 4 channels and compare.</t>
  </si>
  <si>
    <t>Largest single transaction &amp; which user made it</t>
  </si>
  <si>
    <t>Step 1: =MAX(transactions_jan2024!E2:E51)   Step 2: =INDEX(B2:B51,MATCH(MAX(E2:E51),E2:E51,0))</t>
  </si>
  <si>
    <t>₦473,150 by USR-3286</t>
  </si>
  <si>
    <t>INDEX/MATCH is the professional alternative to VLOOKUP — finds a value and returns a related field.</t>
  </si>
  <si>
    <t xml:space="preserve">N/A </t>
  </si>
  <si>
    <t>Sequential IDs. 2 IDs appear twice: TXN-0003 (rows 3 &amp; 8) and TXN-0015 (rows 15 &amp; 22).</t>
  </si>
  <si>
    <t>Covers Jan 2024 EXCEPT row 17 which shows 17-Jan-2004.</t>
  </si>
  <si>
    <t>5 of 50 rows have NULL region: Rows 5, 12, 20, 29, 37. Cannot assign to regional analysis.</t>
  </si>
  <si>
    <t>NO</t>
  </si>
  <si>
    <t xml:space="preserve"> YES. 1 DATE OUTLIER (row 17, year 2004)</t>
  </si>
  <si>
    <t>YES. 2 DUPLICATE IDs</t>
  </si>
  <si>
    <t>YES. 2 NEGATIVE AMOUNTS (rows 10 &amp; 34)</t>
  </si>
  <si>
    <t>YES. 5 CASING ERRORS (rows 6,13,25,39,44)</t>
  </si>
  <si>
    <t>YES. 5 MISSING VALUES (rows 5,12,20,29,37)</t>
  </si>
  <si>
    <t>DATA PROFILE: palmpay_transactions_jan2024 |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</si>
</sst>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C00000"/>
      <name val="Arial"/>
      <family val="2"/>
    </font>
    <font>
      <sz val="9"/>
      <color rgb="FF1F4E79"/>
      <name val="Courier New"/>
      <family val="1"/>
    </font>
    <font>
      <b/>
      <sz val="10"/>
      <color rgb="FF375623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2E4057"/>
        <bgColor rgb="FF1F4E79"/>
      </patternFill>
    </fill>
    <fill>
      <patternFill patternType="solid">
        <fgColor rgb="FFEBF3FB"/>
        <bgColor rgb="FFF5F9FF"/>
      </patternFill>
    </fill>
    <fill>
      <patternFill patternType="solid">
        <fgColor rgb="FFFFFFFF"/>
        <bgColor rgb="FFF5F9FF"/>
      </patternFill>
    </fill>
    <fill>
      <patternFill patternType="solid">
        <fgColor rgb="FFFFFF99"/>
        <bgColor rgb="FFFFF2CC"/>
      </patternFill>
    </fill>
    <fill>
      <patternFill patternType="solid">
        <fgColor rgb="FFFFCCCC"/>
        <bgColor rgb="FFFFB3B3"/>
      </patternFill>
    </fill>
    <fill>
      <patternFill patternType="solid">
        <fgColor rgb="FFFFB3B3"/>
        <bgColor rgb="FFFFCCCC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D6E4F0"/>
        <bgColor rgb="FFE2EFDA"/>
      </patternFill>
    </fill>
    <fill>
      <patternFill patternType="solid">
        <fgColor rgb="FFF5F9FF"/>
        <bgColor rgb="FFFFFFFF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4" fillId="1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164" fontId="2" fillId="5" borderId="2" xfId="0" applyNumberFormat="1" applyFont="1" applyFill="1" applyBorder="1" applyAlignment="1">
      <alignment horizontal="left" vertical="center"/>
    </xf>
    <xf numFmtId="4" fontId="2" fillId="5" borderId="2" xfId="0" applyNumberFormat="1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164" fontId="2" fillId="6" borderId="2" xfId="0" applyNumberFormat="1" applyFont="1" applyFill="1" applyBorder="1" applyAlignment="1">
      <alignment horizontal="left" vertical="center"/>
    </xf>
    <xf numFmtId="4" fontId="2" fillId="6" borderId="2" xfId="0" applyNumberFormat="1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164" fontId="2" fillId="7" borderId="2" xfId="0" applyNumberFormat="1" applyFont="1" applyFill="1" applyBorder="1" applyAlignment="1">
      <alignment horizontal="left" vertical="center"/>
    </xf>
    <xf numFmtId="4" fontId="2" fillId="7" borderId="2" xfId="0" applyNumberFormat="1" applyFont="1" applyFill="1" applyBorder="1" applyAlignment="1">
      <alignment horizontal="left" vertical="center"/>
    </xf>
    <xf numFmtId="164" fontId="2" fillId="8" borderId="2" xfId="0" applyNumberFormat="1" applyFont="1" applyFill="1" applyBorder="1" applyAlignment="1">
      <alignment horizontal="left" vertical="center"/>
    </xf>
    <xf numFmtId="0" fontId="1" fillId="9" borderId="0" xfId="0" applyFont="1" applyFill="1" applyAlignment="1">
      <alignment horizontal="center" wrapText="1"/>
    </xf>
    <xf numFmtId="0" fontId="4" fillId="12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center" wrapText="1"/>
    </xf>
    <xf numFmtId="0" fontId="12" fillId="10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F5F9FF"/>
      <rgbColor rgb="FFFFB3B3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Normal="100" workbookViewId="0">
      <pane ySplit="1" topLeftCell="A2" activePane="bottomLeft" state="frozen"/>
      <selection pane="bottomLeft" activeCell="K45" sqref="K45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4" width="18" customWidth="1"/>
    <col min="5" max="5" width="15" customWidth="1"/>
    <col min="6" max="6" width="12" customWidth="1"/>
    <col min="7" max="7" width="10" customWidth="1"/>
    <col min="8" max="8" width="16" customWidth="1"/>
    <col min="9" max="11" width="18" customWidth="1"/>
    <col min="12" max="13" width="22" customWidth="1"/>
    <col min="14" max="14" width="40" customWidth="1"/>
  </cols>
  <sheetData>
    <row r="1" spans="1:14" ht="24.7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ht="18" customHeight="1" x14ac:dyDescent="0.2">
      <c r="A2" s="9" t="s">
        <v>14</v>
      </c>
      <c r="B2" s="9" t="s">
        <v>15</v>
      </c>
      <c r="C2" s="10">
        <v>45302</v>
      </c>
      <c r="D2" s="9" t="s">
        <v>16</v>
      </c>
      <c r="E2" s="11">
        <v>29900</v>
      </c>
      <c r="F2" s="9" t="s">
        <v>17</v>
      </c>
      <c r="G2" s="9" t="s">
        <v>18</v>
      </c>
      <c r="H2" s="9" t="s">
        <v>19</v>
      </c>
      <c r="I2" s="12" t="str">
        <f t="shared" ref="I2:I33" si="0">IF(COUNTIF($A$2:$A$51,A2)&gt;1,"DUPLICATE","OK")</f>
        <v>OK</v>
      </c>
      <c r="J2" s="12" t="str">
        <f t="shared" ref="J2:J33" si="1">IF(E2&lt;0,"NEGATIVE","OK")</f>
        <v>OK</v>
      </c>
      <c r="K2" s="12" t="str">
        <f t="shared" ref="K2:K33" si="2">IF(YEAR(C2)&lt;&gt;2024,"BAD YEAR: "&amp;YEAR(C2),"OK")</f>
        <v>OK</v>
      </c>
      <c r="L2" s="12" t="str">
        <f t="shared" ref="L2:L33" si="3">IF(AND(F2&lt;&gt;"Success",F2&lt;&gt;"Failed",F2&lt;&gt;"Pending"),"BAD CASING: '"&amp;F2&amp;"'","OK")</f>
        <v>OK</v>
      </c>
      <c r="M2" s="12" t="str">
        <f t="shared" ref="M2:M33" si="4">IF(H2="","MISSING","OK")</f>
        <v>OK</v>
      </c>
      <c r="N2" s="12" t="str">
        <f t="shared" ref="N2:N33" si="5">IF(I2="DUPLICATE","Duplicate ID: "&amp;A2,IF(J2="NEGATIVE","Negative amount: ₦"&amp;TEXT(E2,"#,##0"),IF(K2&lt;&gt;"OK","Date outlier: "&amp;TEXT(C2,"DD-MMM-YYYY"),IF(L2&lt;&gt;"OK","Status casing: '"&amp;F2&amp;"' should be title case",IF(M2="MISSING","Region: NULL/missing","No issues found")))))</f>
        <v>No issues found</v>
      </c>
    </row>
    <row r="3" spans="1:14" ht="18" customHeight="1" x14ac:dyDescent="0.2">
      <c r="A3" s="13" t="s">
        <v>20</v>
      </c>
      <c r="B3" s="13" t="s">
        <v>21</v>
      </c>
      <c r="C3" s="14">
        <v>45306</v>
      </c>
      <c r="D3" s="13" t="s">
        <v>22</v>
      </c>
      <c r="E3" s="15">
        <v>91310</v>
      </c>
      <c r="F3" s="13" t="s">
        <v>23</v>
      </c>
      <c r="G3" s="13" t="s">
        <v>18</v>
      </c>
      <c r="H3" s="13" t="s">
        <v>24</v>
      </c>
      <c r="I3" s="12" t="str">
        <f t="shared" si="0"/>
        <v>OK</v>
      </c>
      <c r="J3" s="12" t="str">
        <f t="shared" si="1"/>
        <v>OK</v>
      </c>
      <c r="K3" s="12" t="str">
        <f t="shared" si="2"/>
        <v>OK</v>
      </c>
      <c r="L3" s="12" t="str">
        <f t="shared" si="3"/>
        <v>OK</v>
      </c>
      <c r="M3" s="12" t="str">
        <f t="shared" si="4"/>
        <v>OK</v>
      </c>
      <c r="N3" s="12" t="str">
        <f t="shared" si="5"/>
        <v>No issues found</v>
      </c>
    </row>
    <row r="4" spans="1:14" ht="18" customHeight="1" x14ac:dyDescent="0.2">
      <c r="A4" s="16" t="s">
        <v>25</v>
      </c>
      <c r="B4" s="16" t="s">
        <v>26</v>
      </c>
      <c r="C4" s="17">
        <v>45314</v>
      </c>
      <c r="D4" s="16" t="s">
        <v>16</v>
      </c>
      <c r="E4" s="18">
        <v>48340</v>
      </c>
      <c r="F4" s="16" t="s">
        <v>27</v>
      </c>
      <c r="G4" s="16" t="s">
        <v>28</v>
      </c>
      <c r="H4" s="16" t="s">
        <v>19</v>
      </c>
      <c r="I4" s="16" t="str">
        <f t="shared" si="0"/>
        <v>DUPLICATE</v>
      </c>
      <c r="J4" s="16" t="str">
        <f t="shared" si="1"/>
        <v>OK</v>
      </c>
      <c r="K4" s="16" t="str">
        <f t="shared" si="2"/>
        <v>OK</v>
      </c>
      <c r="L4" s="16" t="str">
        <f t="shared" si="3"/>
        <v>OK</v>
      </c>
      <c r="M4" s="16" t="str">
        <f t="shared" si="4"/>
        <v>OK</v>
      </c>
      <c r="N4" s="16" t="str">
        <f t="shared" si="5"/>
        <v>Duplicate ID: TXN-0003</v>
      </c>
    </row>
    <row r="5" spans="1:14" ht="18" customHeight="1" x14ac:dyDescent="0.2">
      <c r="A5" s="13" t="s">
        <v>29</v>
      </c>
      <c r="B5" s="13" t="s">
        <v>30</v>
      </c>
      <c r="C5" s="14">
        <v>45300</v>
      </c>
      <c r="D5" s="13" t="s">
        <v>31</v>
      </c>
      <c r="E5" s="15">
        <v>15660</v>
      </c>
      <c r="F5" s="13" t="s">
        <v>23</v>
      </c>
      <c r="G5" s="13" t="s">
        <v>18</v>
      </c>
      <c r="H5" s="13" t="s">
        <v>19</v>
      </c>
      <c r="I5" s="12" t="str">
        <f t="shared" si="0"/>
        <v>OK</v>
      </c>
      <c r="J5" s="12" t="str">
        <f t="shared" si="1"/>
        <v>OK</v>
      </c>
      <c r="K5" s="12" t="str">
        <f t="shared" si="2"/>
        <v>OK</v>
      </c>
      <c r="L5" s="12" t="str">
        <f t="shared" si="3"/>
        <v>OK</v>
      </c>
      <c r="M5" s="12" t="str">
        <f t="shared" si="4"/>
        <v>OK</v>
      </c>
      <c r="N5" s="12" t="str">
        <f t="shared" si="5"/>
        <v>No issues found</v>
      </c>
    </row>
    <row r="6" spans="1:14" ht="18" customHeight="1" x14ac:dyDescent="0.2">
      <c r="A6" s="16" t="s">
        <v>32</v>
      </c>
      <c r="B6" s="16" t="s">
        <v>33</v>
      </c>
      <c r="C6" s="17">
        <v>45312</v>
      </c>
      <c r="D6" s="16" t="s">
        <v>34</v>
      </c>
      <c r="E6" s="18">
        <v>21040</v>
      </c>
      <c r="F6" s="16" t="s">
        <v>23</v>
      </c>
      <c r="G6" s="16" t="s">
        <v>28</v>
      </c>
      <c r="H6" s="16"/>
      <c r="I6" s="16" t="str">
        <f t="shared" si="0"/>
        <v>OK</v>
      </c>
      <c r="J6" s="16" t="str">
        <f t="shared" si="1"/>
        <v>OK</v>
      </c>
      <c r="K6" s="16" t="str">
        <f t="shared" si="2"/>
        <v>OK</v>
      </c>
      <c r="L6" s="16" t="str">
        <f t="shared" si="3"/>
        <v>OK</v>
      </c>
      <c r="M6" s="16" t="str">
        <f t="shared" si="4"/>
        <v>MISSING</v>
      </c>
      <c r="N6" s="16" t="str">
        <f t="shared" si="5"/>
        <v>Region: NULL/missing</v>
      </c>
    </row>
    <row r="7" spans="1:14" ht="18" customHeight="1" x14ac:dyDescent="0.2">
      <c r="A7" s="16" t="s">
        <v>35</v>
      </c>
      <c r="B7" s="16" t="s">
        <v>36</v>
      </c>
      <c r="C7" s="17">
        <v>45316</v>
      </c>
      <c r="D7" s="16" t="s">
        <v>16</v>
      </c>
      <c r="E7" s="18">
        <v>7100</v>
      </c>
      <c r="F7" s="16" t="s">
        <v>37</v>
      </c>
      <c r="G7" s="16" t="s">
        <v>38</v>
      </c>
      <c r="H7" s="16" t="s">
        <v>39</v>
      </c>
      <c r="I7" s="16" t="str">
        <f t="shared" si="0"/>
        <v>OK</v>
      </c>
      <c r="J7" s="16" t="str">
        <f t="shared" si="1"/>
        <v>OK</v>
      </c>
      <c r="K7" s="16" t="str">
        <f t="shared" si="2"/>
        <v>OK</v>
      </c>
      <c r="L7" s="16" t="str">
        <f t="shared" si="3"/>
        <v>OK</v>
      </c>
      <c r="M7" s="16" t="str">
        <f t="shared" si="4"/>
        <v>OK</v>
      </c>
      <c r="N7" s="16" t="str">
        <f t="shared" si="5"/>
        <v>No issues found</v>
      </c>
    </row>
    <row r="8" spans="1:14" ht="18" customHeight="1" x14ac:dyDescent="0.2">
      <c r="A8" s="9" t="s">
        <v>40</v>
      </c>
      <c r="B8" s="9" t="s">
        <v>41</v>
      </c>
      <c r="C8" s="10">
        <v>45322</v>
      </c>
      <c r="D8" s="9" t="s">
        <v>22</v>
      </c>
      <c r="E8" s="11">
        <v>18930</v>
      </c>
      <c r="F8" s="9" t="s">
        <v>23</v>
      </c>
      <c r="G8" s="9" t="s">
        <v>42</v>
      </c>
      <c r="H8" s="9" t="s">
        <v>39</v>
      </c>
      <c r="I8" s="12" t="str">
        <f t="shared" si="0"/>
        <v>OK</v>
      </c>
      <c r="J8" s="12" t="str">
        <f t="shared" si="1"/>
        <v>OK</v>
      </c>
      <c r="K8" s="12" t="str">
        <f t="shared" si="2"/>
        <v>OK</v>
      </c>
      <c r="L8" s="12" t="str">
        <f t="shared" si="3"/>
        <v>OK</v>
      </c>
      <c r="M8" s="12" t="str">
        <f t="shared" si="4"/>
        <v>OK</v>
      </c>
      <c r="N8" s="12" t="str">
        <f t="shared" si="5"/>
        <v>No issues found</v>
      </c>
    </row>
    <row r="9" spans="1:14" ht="18" customHeight="1" x14ac:dyDescent="0.2">
      <c r="A9" s="16" t="s">
        <v>25</v>
      </c>
      <c r="B9" s="16" t="s">
        <v>43</v>
      </c>
      <c r="C9" s="17">
        <v>45296</v>
      </c>
      <c r="D9" s="16" t="s">
        <v>34</v>
      </c>
      <c r="E9" s="18">
        <v>441650</v>
      </c>
      <c r="F9" s="16" t="s">
        <v>23</v>
      </c>
      <c r="G9" s="16" t="s">
        <v>42</v>
      </c>
      <c r="H9" s="16" t="s">
        <v>44</v>
      </c>
      <c r="I9" s="16" t="str">
        <f t="shared" si="0"/>
        <v>DUPLICATE</v>
      </c>
      <c r="J9" s="16" t="str">
        <f t="shared" si="1"/>
        <v>OK</v>
      </c>
      <c r="K9" s="16" t="str">
        <f t="shared" si="2"/>
        <v>OK</v>
      </c>
      <c r="L9" s="16" t="str">
        <f t="shared" si="3"/>
        <v>OK</v>
      </c>
      <c r="M9" s="16" t="str">
        <f t="shared" si="4"/>
        <v>OK</v>
      </c>
      <c r="N9" s="16" t="str">
        <f t="shared" si="5"/>
        <v>Duplicate ID: TXN-0003</v>
      </c>
    </row>
    <row r="10" spans="1:14" ht="18" customHeight="1" x14ac:dyDescent="0.2">
      <c r="A10" s="9" t="s">
        <v>45</v>
      </c>
      <c r="B10" s="9" t="s">
        <v>46</v>
      </c>
      <c r="C10" s="10">
        <v>45296</v>
      </c>
      <c r="D10" s="9" t="s">
        <v>22</v>
      </c>
      <c r="E10" s="11">
        <v>4540</v>
      </c>
      <c r="F10" s="9" t="s">
        <v>17</v>
      </c>
      <c r="G10" s="9" t="s">
        <v>28</v>
      </c>
      <c r="H10" s="9" t="s">
        <v>39</v>
      </c>
      <c r="I10" s="12" t="str">
        <f t="shared" si="0"/>
        <v>OK</v>
      </c>
      <c r="J10" s="12" t="str">
        <f t="shared" si="1"/>
        <v>OK</v>
      </c>
      <c r="K10" s="12" t="str">
        <f t="shared" si="2"/>
        <v>OK</v>
      </c>
      <c r="L10" s="12" t="str">
        <f t="shared" si="3"/>
        <v>OK</v>
      </c>
      <c r="M10" s="12" t="str">
        <f t="shared" si="4"/>
        <v>OK</v>
      </c>
      <c r="N10" s="12" t="str">
        <f t="shared" si="5"/>
        <v>No issues found</v>
      </c>
    </row>
    <row r="11" spans="1:14" ht="18" customHeight="1" x14ac:dyDescent="0.2">
      <c r="A11" s="19" t="s">
        <v>47</v>
      </c>
      <c r="B11" s="19" t="s">
        <v>48</v>
      </c>
      <c r="C11" s="20">
        <v>45313</v>
      </c>
      <c r="D11" s="19" t="s">
        <v>31</v>
      </c>
      <c r="E11" s="21">
        <v>-250080</v>
      </c>
      <c r="F11" s="19" t="s">
        <v>27</v>
      </c>
      <c r="G11" s="19" t="s">
        <v>18</v>
      </c>
      <c r="H11" s="19" t="s">
        <v>24</v>
      </c>
      <c r="I11" s="19" t="str">
        <f t="shared" si="0"/>
        <v>OK</v>
      </c>
      <c r="J11" s="19" t="str">
        <f t="shared" si="1"/>
        <v>NEGATIVE</v>
      </c>
      <c r="K11" s="19" t="str">
        <f t="shared" si="2"/>
        <v>OK</v>
      </c>
      <c r="L11" s="19" t="str">
        <f t="shared" si="3"/>
        <v>OK</v>
      </c>
      <c r="M11" s="19" t="str">
        <f t="shared" si="4"/>
        <v>OK</v>
      </c>
      <c r="N11" s="19" t="str">
        <f>IF(I11="DUPLICATE","Duplicate ID: "&amp;A11,IF(J11="NEGATIVE","Negative amount: "&amp;TEXT(E11,"#,##0"),IF(K11&lt;&gt;"OK","Date outlier: "&amp;TEXT(C11,"DD-MMM-YYYY"),IF(L11&lt;&gt;"OK","Status casing: '"&amp;F11&amp;"' should be title case",IF(M11="MISSING","Region: NULL/missing","No issues found")))))</f>
        <v>Negative amount: -250,080</v>
      </c>
    </row>
    <row r="12" spans="1:14" ht="18" customHeight="1" x14ac:dyDescent="0.2">
      <c r="A12" s="9" t="s">
        <v>49</v>
      </c>
      <c r="B12" s="9" t="s">
        <v>50</v>
      </c>
      <c r="C12" s="10">
        <v>45322</v>
      </c>
      <c r="D12" s="9" t="s">
        <v>16</v>
      </c>
      <c r="E12" s="11">
        <v>49680</v>
      </c>
      <c r="F12" s="9" t="s">
        <v>17</v>
      </c>
      <c r="G12" s="9" t="s">
        <v>18</v>
      </c>
      <c r="H12" s="9" t="s">
        <v>19</v>
      </c>
      <c r="I12" s="12" t="str">
        <f t="shared" si="0"/>
        <v>OK</v>
      </c>
      <c r="J12" s="12" t="str">
        <f t="shared" si="1"/>
        <v>OK</v>
      </c>
      <c r="K12" s="12" t="str">
        <f t="shared" si="2"/>
        <v>OK</v>
      </c>
      <c r="L12" s="12" t="str">
        <f t="shared" si="3"/>
        <v>OK</v>
      </c>
      <c r="M12" s="12" t="str">
        <f t="shared" si="4"/>
        <v>OK</v>
      </c>
      <c r="N12" s="12" t="str">
        <f t="shared" si="5"/>
        <v>No issues found</v>
      </c>
    </row>
    <row r="13" spans="1:14" ht="18" customHeight="1" x14ac:dyDescent="0.2">
      <c r="A13" s="16" t="s">
        <v>51</v>
      </c>
      <c r="B13" s="16" t="s">
        <v>52</v>
      </c>
      <c r="C13" s="17">
        <v>45305</v>
      </c>
      <c r="D13" s="16" t="s">
        <v>34</v>
      </c>
      <c r="E13" s="18">
        <v>428580</v>
      </c>
      <c r="F13" s="16" t="s">
        <v>23</v>
      </c>
      <c r="G13" s="16" t="s">
        <v>28</v>
      </c>
      <c r="H13" s="16"/>
      <c r="I13" s="16" t="str">
        <f t="shared" si="0"/>
        <v>OK</v>
      </c>
      <c r="J13" s="16" t="str">
        <f t="shared" si="1"/>
        <v>OK</v>
      </c>
      <c r="K13" s="16" t="str">
        <f t="shared" si="2"/>
        <v>OK</v>
      </c>
      <c r="L13" s="16" t="str">
        <f t="shared" si="3"/>
        <v>OK</v>
      </c>
      <c r="M13" s="16" t="str">
        <f t="shared" si="4"/>
        <v>MISSING</v>
      </c>
      <c r="N13" s="16" t="str">
        <f t="shared" si="5"/>
        <v>Region: NULL/missing</v>
      </c>
    </row>
    <row r="14" spans="1:14" ht="18" customHeight="1" x14ac:dyDescent="0.2">
      <c r="A14" s="16" t="s">
        <v>53</v>
      </c>
      <c r="B14" s="16" t="s">
        <v>41</v>
      </c>
      <c r="C14" s="17">
        <v>45295</v>
      </c>
      <c r="D14" s="16" t="s">
        <v>54</v>
      </c>
      <c r="E14" s="18">
        <v>4660</v>
      </c>
      <c r="F14" s="16" t="s">
        <v>55</v>
      </c>
      <c r="G14" s="16" t="s">
        <v>28</v>
      </c>
      <c r="H14" s="16" t="s">
        <v>24</v>
      </c>
      <c r="I14" s="16" t="str">
        <f t="shared" si="0"/>
        <v>OK</v>
      </c>
      <c r="J14" s="16" t="str">
        <f t="shared" si="1"/>
        <v>OK</v>
      </c>
      <c r="K14" s="16" t="str">
        <f t="shared" si="2"/>
        <v>OK</v>
      </c>
      <c r="L14" s="16" t="str">
        <f t="shared" si="3"/>
        <v>OK</v>
      </c>
      <c r="M14" s="16" t="str">
        <f t="shared" si="4"/>
        <v>OK</v>
      </c>
      <c r="N14" s="16" t="str">
        <f t="shared" si="5"/>
        <v>No issues found</v>
      </c>
    </row>
    <row r="15" spans="1:14" ht="18" customHeight="1" x14ac:dyDescent="0.2">
      <c r="A15" s="13" t="s">
        <v>56</v>
      </c>
      <c r="B15" s="13" t="s">
        <v>15</v>
      </c>
      <c r="C15" s="14">
        <v>45321</v>
      </c>
      <c r="D15" s="13" t="s">
        <v>22</v>
      </c>
      <c r="E15" s="15">
        <v>44250</v>
      </c>
      <c r="F15" s="13" t="s">
        <v>23</v>
      </c>
      <c r="G15" s="13" t="s">
        <v>18</v>
      </c>
      <c r="H15" s="13" t="s">
        <v>44</v>
      </c>
      <c r="I15" s="12" t="str">
        <f t="shared" si="0"/>
        <v>OK</v>
      </c>
      <c r="J15" s="12" t="str">
        <f t="shared" si="1"/>
        <v>OK</v>
      </c>
      <c r="K15" s="12" t="str">
        <f t="shared" si="2"/>
        <v>OK</v>
      </c>
      <c r="L15" s="12" t="str">
        <f t="shared" si="3"/>
        <v>OK</v>
      </c>
      <c r="M15" s="12" t="str">
        <f t="shared" si="4"/>
        <v>OK</v>
      </c>
      <c r="N15" s="12" t="str">
        <f t="shared" si="5"/>
        <v>No issues found</v>
      </c>
    </row>
    <row r="16" spans="1:14" ht="18" customHeight="1" x14ac:dyDescent="0.2">
      <c r="A16" s="16" t="s">
        <v>57</v>
      </c>
      <c r="B16" s="16" t="s">
        <v>46</v>
      </c>
      <c r="C16" s="17">
        <v>45293</v>
      </c>
      <c r="D16" s="16" t="s">
        <v>34</v>
      </c>
      <c r="E16" s="18">
        <v>10610</v>
      </c>
      <c r="F16" s="16" t="s">
        <v>17</v>
      </c>
      <c r="G16" s="16" t="s">
        <v>28</v>
      </c>
      <c r="H16" s="16" t="s">
        <v>39</v>
      </c>
      <c r="I16" s="16" t="str">
        <f t="shared" si="0"/>
        <v>DUPLICATE</v>
      </c>
      <c r="J16" s="16" t="str">
        <f t="shared" si="1"/>
        <v>OK</v>
      </c>
      <c r="K16" s="16" t="str">
        <f t="shared" si="2"/>
        <v>OK</v>
      </c>
      <c r="L16" s="16" t="str">
        <f t="shared" si="3"/>
        <v>OK</v>
      </c>
      <c r="M16" s="16" t="str">
        <f t="shared" si="4"/>
        <v>OK</v>
      </c>
      <c r="N16" s="16" t="str">
        <f t="shared" si="5"/>
        <v>Duplicate ID: TXN-0015</v>
      </c>
    </row>
    <row r="17" spans="1:14" ht="18" customHeight="1" x14ac:dyDescent="0.2">
      <c r="A17" s="13" t="s">
        <v>58</v>
      </c>
      <c r="B17" s="13" t="s">
        <v>59</v>
      </c>
      <c r="C17" s="14">
        <v>45307</v>
      </c>
      <c r="D17" s="13" t="s">
        <v>22</v>
      </c>
      <c r="E17" s="15">
        <v>326650</v>
      </c>
      <c r="F17" s="13" t="s">
        <v>23</v>
      </c>
      <c r="G17" s="13" t="s">
        <v>28</v>
      </c>
      <c r="H17" s="13" t="s">
        <v>24</v>
      </c>
      <c r="I17" s="12" t="str">
        <f t="shared" si="0"/>
        <v>OK</v>
      </c>
      <c r="J17" s="12" t="str">
        <f t="shared" si="1"/>
        <v>OK</v>
      </c>
      <c r="K17" s="12" t="str">
        <f t="shared" si="2"/>
        <v>OK</v>
      </c>
      <c r="L17" s="12" t="str">
        <f t="shared" si="3"/>
        <v>OK</v>
      </c>
      <c r="M17" s="12" t="str">
        <f t="shared" si="4"/>
        <v>OK</v>
      </c>
      <c r="N17" s="12" t="str">
        <f t="shared" si="5"/>
        <v>No issues found</v>
      </c>
    </row>
    <row r="18" spans="1:14" ht="18" customHeight="1" x14ac:dyDescent="0.2">
      <c r="A18" s="9" t="s">
        <v>60</v>
      </c>
      <c r="B18" s="9" t="s">
        <v>15</v>
      </c>
      <c r="C18" s="22">
        <v>38003</v>
      </c>
      <c r="D18" s="9" t="s">
        <v>34</v>
      </c>
      <c r="E18" s="11">
        <v>402160</v>
      </c>
      <c r="F18" s="9" t="s">
        <v>23</v>
      </c>
      <c r="G18" s="9" t="s">
        <v>42</v>
      </c>
      <c r="H18" s="9" t="s">
        <v>19</v>
      </c>
      <c r="I18" s="12" t="str">
        <f t="shared" si="0"/>
        <v>OK</v>
      </c>
      <c r="J18" s="12" t="str">
        <f t="shared" si="1"/>
        <v>OK</v>
      </c>
      <c r="K18" s="12" t="str">
        <f t="shared" si="2"/>
        <v>BAD YEAR: 2004</v>
      </c>
      <c r="L18" s="12" t="str">
        <f t="shared" si="3"/>
        <v>OK</v>
      </c>
      <c r="M18" s="12" t="str">
        <f t="shared" si="4"/>
        <v>OK</v>
      </c>
      <c r="N18" s="12" t="str">
        <f>IF(I18="DUPLICATE","Duplicate ID: "&amp;A18,IF(J18="NEGATIVE","Negative amount: ₦"&amp;TEXT(E18,"#,##0"),IF(K18&lt;&gt;"OK","Date outlier: "&amp;TEXT(C18,"DD-MMM-YYYY"),IF(L18&lt;&gt;"OK","Status casing: '"&amp;F18&amp;"' should be title case",IF(M18="MISSING","Region: NULL/missing","No issues found")))))</f>
        <v>Date outlier: 17-Jan-2004</v>
      </c>
    </row>
    <row r="19" spans="1:14" ht="18" customHeight="1" x14ac:dyDescent="0.2">
      <c r="A19" s="13" t="s">
        <v>61</v>
      </c>
      <c r="B19" s="13" t="s">
        <v>46</v>
      </c>
      <c r="C19" s="14">
        <v>45299</v>
      </c>
      <c r="D19" s="13" t="s">
        <v>16</v>
      </c>
      <c r="E19" s="15">
        <v>358440</v>
      </c>
      <c r="F19" s="13" t="s">
        <v>23</v>
      </c>
      <c r="G19" s="13" t="s">
        <v>28</v>
      </c>
      <c r="H19" s="13" t="s">
        <v>19</v>
      </c>
      <c r="I19" s="12" t="str">
        <f t="shared" si="0"/>
        <v>OK</v>
      </c>
      <c r="J19" s="12" t="str">
        <f t="shared" si="1"/>
        <v>OK</v>
      </c>
      <c r="K19" s="12" t="str">
        <f t="shared" si="2"/>
        <v>OK</v>
      </c>
      <c r="L19" s="12" t="str">
        <f t="shared" si="3"/>
        <v>OK</v>
      </c>
      <c r="M19" s="12" t="str">
        <f t="shared" si="4"/>
        <v>OK</v>
      </c>
      <c r="N19" s="12" t="str">
        <f t="shared" si="5"/>
        <v>No issues found</v>
      </c>
    </row>
    <row r="20" spans="1:14" ht="18" customHeight="1" x14ac:dyDescent="0.2">
      <c r="A20" s="9" t="s">
        <v>62</v>
      </c>
      <c r="B20" s="9" t="s">
        <v>63</v>
      </c>
      <c r="C20" s="10">
        <v>45314</v>
      </c>
      <c r="D20" s="9" t="s">
        <v>16</v>
      </c>
      <c r="E20" s="11">
        <v>9420</v>
      </c>
      <c r="F20" s="9" t="s">
        <v>23</v>
      </c>
      <c r="G20" s="9" t="s">
        <v>28</v>
      </c>
      <c r="H20" s="9" t="s">
        <v>44</v>
      </c>
      <c r="I20" s="12" t="str">
        <f t="shared" si="0"/>
        <v>OK</v>
      </c>
      <c r="J20" s="12" t="str">
        <f t="shared" si="1"/>
        <v>OK</v>
      </c>
      <c r="K20" s="12" t="str">
        <f t="shared" si="2"/>
        <v>OK</v>
      </c>
      <c r="L20" s="12" t="str">
        <f t="shared" si="3"/>
        <v>OK</v>
      </c>
      <c r="M20" s="12" t="str">
        <f t="shared" si="4"/>
        <v>OK</v>
      </c>
      <c r="N20" s="12" t="str">
        <f t="shared" si="5"/>
        <v>No issues found</v>
      </c>
    </row>
    <row r="21" spans="1:14" ht="18" customHeight="1" x14ac:dyDescent="0.2">
      <c r="A21" s="16" t="s">
        <v>64</v>
      </c>
      <c r="B21" s="16" t="s">
        <v>59</v>
      </c>
      <c r="C21" s="17">
        <v>45307</v>
      </c>
      <c r="D21" s="16" t="s">
        <v>34</v>
      </c>
      <c r="E21" s="18">
        <v>429240</v>
      </c>
      <c r="F21" s="16" t="s">
        <v>23</v>
      </c>
      <c r="G21" s="16" t="s">
        <v>28</v>
      </c>
      <c r="H21" s="16"/>
      <c r="I21" s="16" t="str">
        <f t="shared" si="0"/>
        <v>OK</v>
      </c>
      <c r="J21" s="16" t="str">
        <f t="shared" si="1"/>
        <v>OK</v>
      </c>
      <c r="K21" s="16" t="str">
        <f t="shared" si="2"/>
        <v>OK</v>
      </c>
      <c r="L21" s="16" t="str">
        <f t="shared" si="3"/>
        <v>OK</v>
      </c>
      <c r="M21" s="16" t="str">
        <f t="shared" si="4"/>
        <v>MISSING</v>
      </c>
      <c r="N21" s="16" t="str">
        <f t="shared" si="5"/>
        <v>Region: NULL/missing</v>
      </c>
    </row>
    <row r="22" spans="1:14" ht="18" customHeight="1" x14ac:dyDescent="0.2">
      <c r="A22" s="9" t="s">
        <v>65</v>
      </c>
      <c r="B22" s="9" t="s">
        <v>48</v>
      </c>
      <c r="C22" s="10">
        <v>45305</v>
      </c>
      <c r="D22" s="9" t="s">
        <v>34</v>
      </c>
      <c r="E22" s="11">
        <v>11350</v>
      </c>
      <c r="F22" s="9" t="s">
        <v>23</v>
      </c>
      <c r="G22" s="9" t="s">
        <v>42</v>
      </c>
      <c r="H22" s="9" t="s">
        <v>66</v>
      </c>
      <c r="I22" s="12" t="str">
        <f t="shared" si="0"/>
        <v>OK</v>
      </c>
      <c r="J22" s="12" t="str">
        <f t="shared" si="1"/>
        <v>OK</v>
      </c>
      <c r="K22" s="12" t="str">
        <f t="shared" si="2"/>
        <v>OK</v>
      </c>
      <c r="L22" s="12" t="str">
        <f t="shared" si="3"/>
        <v>OK</v>
      </c>
      <c r="M22" s="12" t="str">
        <f t="shared" si="4"/>
        <v>OK</v>
      </c>
      <c r="N22" s="12" t="str">
        <f t="shared" si="5"/>
        <v>No issues found</v>
      </c>
    </row>
    <row r="23" spans="1:14" ht="18" customHeight="1" x14ac:dyDescent="0.2">
      <c r="A23" s="16" t="s">
        <v>57</v>
      </c>
      <c r="B23" s="16" t="s">
        <v>50</v>
      </c>
      <c r="C23" s="17">
        <v>45315</v>
      </c>
      <c r="D23" s="16" t="s">
        <v>16</v>
      </c>
      <c r="E23" s="18">
        <v>261090</v>
      </c>
      <c r="F23" s="16" t="s">
        <v>23</v>
      </c>
      <c r="G23" s="16" t="s">
        <v>38</v>
      </c>
      <c r="H23" s="16" t="s">
        <v>39</v>
      </c>
      <c r="I23" s="16" t="str">
        <f t="shared" si="0"/>
        <v>DUPLICATE</v>
      </c>
      <c r="J23" s="16" t="str">
        <f t="shared" si="1"/>
        <v>OK</v>
      </c>
      <c r="K23" s="16" t="str">
        <f t="shared" si="2"/>
        <v>OK</v>
      </c>
      <c r="L23" s="16" t="str">
        <f t="shared" si="3"/>
        <v>OK</v>
      </c>
      <c r="M23" s="16" t="str">
        <f t="shared" si="4"/>
        <v>OK</v>
      </c>
      <c r="N23" s="16" t="str">
        <f t="shared" si="5"/>
        <v>Duplicate ID: TXN-0015</v>
      </c>
    </row>
    <row r="24" spans="1:14" ht="18" customHeight="1" x14ac:dyDescent="0.2">
      <c r="A24" s="9" t="s">
        <v>67</v>
      </c>
      <c r="B24" s="9" t="s">
        <v>26</v>
      </c>
      <c r="C24" s="10">
        <v>45298</v>
      </c>
      <c r="D24" s="9" t="s">
        <v>22</v>
      </c>
      <c r="E24" s="11">
        <v>4180</v>
      </c>
      <c r="F24" s="9" t="s">
        <v>23</v>
      </c>
      <c r="G24" s="9" t="s">
        <v>28</v>
      </c>
      <c r="H24" s="9" t="s">
        <v>19</v>
      </c>
      <c r="I24" s="12" t="str">
        <f t="shared" si="0"/>
        <v>OK</v>
      </c>
      <c r="J24" s="12" t="str">
        <f t="shared" si="1"/>
        <v>OK</v>
      </c>
      <c r="K24" s="12" t="str">
        <f t="shared" si="2"/>
        <v>OK</v>
      </c>
      <c r="L24" s="12" t="str">
        <f t="shared" si="3"/>
        <v>OK</v>
      </c>
      <c r="M24" s="12" t="str">
        <f t="shared" si="4"/>
        <v>OK</v>
      </c>
      <c r="N24" s="12" t="str">
        <f t="shared" si="5"/>
        <v>No issues found</v>
      </c>
    </row>
    <row r="25" spans="1:14" ht="18" customHeight="1" x14ac:dyDescent="0.2">
      <c r="A25" s="13" t="s">
        <v>68</v>
      </c>
      <c r="B25" s="13" t="s">
        <v>69</v>
      </c>
      <c r="C25" s="14">
        <v>45317</v>
      </c>
      <c r="D25" s="13" t="s">
        <v>22</v>
      </c>
      <c r="E25" s="15">
        <v>391910</v>
      </c>
      <c r="F25" s="13" t="s">
        <v>17</v>
      </c>
      <c r="G25" s="13" t="s">
        <v>38</v>
      </c>
      <c r="H25" s="13" t="s">
        <v>39</v>
      </c>
      <c r="I25" s="12" t="str">
        <f t="shared" si="0"/>
        <v>OK</v>
      </c>
      <c r="J25" s="12" t="str">
        <f t="shared" si="1"/>
        <v>OK</v>
      </c>
      <c r="K25" s="12" t="str">
        <f t="shared" si="2"/>
        <v>OK</v>
      </c>
      <c r="L25" s="12" t="str">
        <f t="shared" si="3"/>
        <v>OK</v>
      </c>
      <c r="M25" s="12" t="str">
        <f t="shared" si="4"/>
        <v>OK</v>
      </c>
      <c r="N25" s="12" t="str">
        <f t="shared" si="5"/>
        <v>No issues found</v>
      </c>
    </row>
    <row r="26" spans="1:14" ht="18" customHeight="1" x14ac:dyDescent="0.2">
      <c r="A26" s="16" t="s">
        <v>70</v>
      </c>
      <c r="B26" s="16" t="s">
        <v>71</v>
      </c>
      <c r="C26" s="17">
        <v>45305</v>
      </c>
      <c r="D26" s="16" t="s">
        <v>31</v>
      </c>
      <c r="E26" s="18">
        <v>4440</v>
      </c>
      <c r="F26" s="16" t="s">
        <v>72</v>
      </c>
      <c r="G26" s="16" t="s">
        <v>38</v>
      </c>
      <c r="H26" s="16" t="s">
        <v>66</v>
      </c>
      <c r="I26" s="16" t="str">
        <f t="shared" si="0"/>
        <v>OK</v>
      </c>
      <c r="J26" s="16" t="str">
        <f t="shared" si="1"/>
        <v>OK</v>
      </c>
      <c r="K26" s="16" t="str">
        <f t="shared" si="2"/>
        <v>OK</v>
      </c>
      <c r="L26" s="16" t="str">
        <f t="shared" si="3"/>
        <v>OK</v>
      </c>
      <c r="M26" s="16" t="str">
        <f t="shared" si="4"/>
        <v>OK</v>
      </c>
      <c r="N26" s="16" t="str">
        <f t="shared" si="5"/>
        <v>No issues found</v>
      </c>
    </row>
    <row r="27" spans="1:14" ht="18" customHeight="1" x14ac:dyDescent="0.2">
      <c r="A27" s="13" t="s">
        <v>73</v>
      </c>
      <c r="B27" s="13" t="s">
        <v>43</v>
      </c>
      <c r="C27" s="14">
        <v>45321</v>
      </c>
      <c r="D27" s="13" t="s">
        <v>31</v>
      </c>
      <c r="E27" s="15">
        <v>415210</v>
      </c>
      <c r="F27" s="13" t="s">
        <v>27</v>
      </c>
      <c r="G27" s="13" t="s">
        <v>42</v>
      </c>
      <c r="H27" s="13" t="s">
        <v>39</v>
      </c>
      <c r="I27" s="12" t="str">
        <f t="shared" si="0"/>
        <v>OK</v>
      </c>
      <c r="J27" s="12" t="str">
        <f t="shared" si="1"/>
        <v>OK</v>
      </c>
      <c r="K27" s="12" t="str">
        <f t="shared" si="2"/>
        <v>OK</v>
      </c>
      <c r="L27" s="12" t="str">
        <f t="shared" si="3"/>
        <v>OK</v>
      </c>
      <c r="M27" s="12" t="str">
        <f t="shared" si="4"/>
        <v>OK</v>
      </c>
      <c r="N27" s="12" t="str">
        <f t="shared" si="5"/>
        <v>No issues found</v>
      </c>
    </row>
    <row r="28" spans="1:14" ht="18" customHeight="1" x14ac:dyDescent="0.2">
      <c r="A28" s="9" t="s">
        <v>74</v>
      </c>
      <c r="B28" s="9" t="s">
        <v>26</v>
      </c>
      <c r="C28" s="10">
        <v>45301</v>
      </c>
      <c r="D28" s="9" t="s">
        <v>34</v>
      </c>
      <c r="E28" s="11">
        <v>435740</v>
      </c>
      <c r="F28" s="9" t="s">
        <v>23</v>
      </c>
      <c r="G28" s="9" t="s">
        <v>18</v>
      </c>
      <c r="H28" s="9" t="s">
        <v>19</v>
      </c>
      <c r="I28" s="12" t="str">
        <f t="shared" si="0"/>
        <v>OK</v>
      </c>
      <c r="J28" s="12" t="str">
        <f t="shared" si="1"/>
        <v>OK</v>
      </c>
      <c r="K28" s="12" t="str">
        <f t="shared" si="2"/>
        <v>OK</v>
      </c>
      <c r="L28" s="12" t="str">
        <f t="shared" si="3"/>
        <v>OK</v>
      </c>
      <c r="M28" s="12" t="str">
        <f t="shared" si="4"/>
        <v>OK</v>
      </c>
      <c r="N28" s="12" t="str">
        <f t="shared" si="5"/>
        <v>No issues found</v>
      </c>
    </row>
    <row r="29" spans="1:14" ht="18" customHeight="1" x14ac:dyDescent="0.2">
      <c r="A29" s="13" t="s">
        <v>75</v>
      </c>
      <c r="B29" s="13" t="s">
        <v>76</v>
      </c>
      <c r="C29" s="14">
        <v>45310</v>
      </c>
      <c r="D29" s="13" t="s">
        <v>31</v>
      </c>
      <c r="E29" s="15">
        <v>4620</v>
      </c>
      <c r="F29" s="13" t="s">
        <v>27</v>
      </c>
      <c r="G29" s="13" t="s">
        <v>38</v>
      </c>
      <c r="H29" s="13" t="s">
        <v>39</v>
      </c>
      <c r="I29" s="12" t="str">
        <f t="shared" si="0"/>
        <v>OK</v>
      </c>
      <c r="J29" s="12" t="str">
        <f t="shared" si="1"/>
        <v>OK</v>
      </c>
      <c r="K29" s="12" t="str">
        <f t="shared" si="2"/>
        <v>OK</v>
      </c>
      <c r="L29" s="12" t="str">
        <f t="shared" si="3"/>
        <v>OK</v>
      </c>
      <c r="M29" s="12" t="str">
        <f t="shared" si="4"/>
        <v>OK</v>
      </c>
      <c r="N29" s="12" t="str">
        <f t="shared" si="5"/>
        <v>No issues found</v>
      </c>
    </row>
    <row r="30" spans="1:14" ht="18" customHeight="1" x14ac:dyDescent="0.2">
      <c r="A30" s="16" t="s">
        <v>77</v>
      </c>
      <c r="B30" s="16" t="s">
        <v>63</v>
      </c>
      <c r="C30" s="17">
        <v>45311</v>
      </c>
      <c r="D30" s="16" t="s">
        <v>16</v>
      </c>
      <c r="E30" s="18">
        <v>112860</v>
      </c>
      <c r="F30" s="16" t="s">
        <v>23</v>
      </c>
      <c r="G30" s="16" t="s">
        <v>38</v>
      </c>
      <c r="H30" s="16"/>
      <c r="I30" s="16" t="str">
        <f t="shared" si="0"/>
        <v>OK</v>
      </c>
      <c r="J30" s="16" t="str">
        <f t="shared" si="1"/>
        <v>OK</v>
      </c>
      <c r="K30" s="16" t="str">
        <f t="shared" si="2"/>
        <v>OK</v>
      </c>
      <c r="L30" s="16" t="str">
        <f t="shared" si="3"/>
        <v>OK</v>
      </c>
      <c r="M30" s="16" t="str">
        <f t="shared" si="4"/>
        <v>MISSING</v>
      </c>
      <c r="N30" s="16" t="str">
        <f t="shared" si="5"/>
        <v>Region: NULL/missing</v>
      </c>
    </row>
    <row r="31" spans="1:14" ht="18" customHeight="1" x14ac:dyDescent="0.2">
      <c r="A31" s="13" t="s">
        <v>78</v>
      </c>
      <c r="B31" s="13" t="s">
        <v>63</v>
      </c>
      <c r="C31" s="14">
        <v>45305</v>
      </c>
      <c r="D31" s="13" t="s">
        <v>22</v>
      </c>
      <c r="E31" s="15">
        <v>4780</v>
      </c>
      <c r="F31" s="13" t="s">
        <v>23</v>
      </c>
      <c r="G31" s="13" t="s">
        <v>18</v>
      </c>
      <c r="H31" s="13" t="s">
        <v>39</v>
      </c>
      <c r="I31" s="12" t="str">
        <f t="shared" si="0"/>
        <v>OK</v>
      </c>
      <c r="J31" s="12" t="str">
        <f t="shared" si="1"/>
        <v>OK</v>
      </c>
      <c r="K31" s="12" t="str">
        <f t="shared" si="2"/>
        <v>OK</v>
      </c>
      <c r="L31" s="12" t="str">
        <f t="shared" si="3"/>
        <v>OK</v>
      </c>
      <c r="M31" s="12" t="str">
        <f t="shared" si="4"/>
        <v>OK</v>
      </c>
      <c r="N31" s="12" t="str">
        <f t="shared" si="5"/>
        <v>No issues found</v>
      </c>
    </row>
    <row r="32" spans="1:14" ht="18" customHeight="1" x14ac:dyDescent="0.2">
      <c r="A32" s="9" t="s">
        <v>79</v>
      </c>
      <c r="B32" s="9" t="s">
        <v>43</v>
      </c>
      <c r="C32" s="10">
        <v>45304</v>
      </c>
      <c r="D32" s="9" t="s">
        <v>34</v>
      </c>
      <c r="E32" s="11">
        <v>2960</v>
      </c>
      <c r="F32" s="9" t="s">
        <v>23</v>
      </c>
      <c r="G32" s="9" t="s">
        <v>38</v>
      </c>
      <c r="H32" s="9" t="s">
        <v>19</v>
      </c>
      <c r="I32" s="12" t="str">
        <f t="shared" si="0"/>
        <v>OK</v>
      </c>
      <c r="J32" s="12" t="str">
        <f t="shared" si="1"/>
        <v>OK</v>
      </c>
      <c r="K32" s="12" t="str">
        <f t="shared" si="2"/>
        <v>OK</v>
      </c>
      <c r="L32" s="12" t="str">
        <f t="shared" si="3"/>
        <v>OK</v>
      </c>
      <c r="M32" s="12" t="str">
        <f t="shared" si="4"/>
        <v>OK</v>
      </c>
      <c r="N32" s="12" t="str">
        <f t="shared" si="5"/>
        <v>No issues found</v>
      </c>
    </row>
    <row r="33" spans="1:14" ht="18" customHeight="1" x14ac:dyDescent="0.2">
      <c r="A33" s="13" t="s">
        <v>80</v>
      </c>
      <c r="B33" s="13" t="s">
        <v>81</v>
      </c>
      <c r="C33" s="14">
        <v>45298</v>
      </c>
      <c r="D33" s="13" t="s">
        <v>22</v>
      </c>
      <c r="E33" s="15">
        <v>2670</v>
      </c>
      <c r="F33" s="13" t="s">
        <v>17</v>
      </c>
      <c r="G33" s="13" t="s">
        <v>18</v>
      </c>
      <c r="H33" s="13" t="s">
        <v>44</v>
      </c>
      <c r="I33" s="12" t="str">
        <f t="shared" si="0"/>
        <v>OK</v>
      </c>
      <c r="J33" s="12" t="str">
        <f t="shared" si="1"/>
        <v>OK</v>
      </c>
      <c r="K33" s="12" t="str">
        <f t="shared" si="2"/>
        <v>OK</v>
      </c>
      <c r="L33" s="12" t="str">
        <f t="shared" si="3"/>
        <v>OK</v>
      </c>
      <c r="M33" s="12" t="str">
        <f t="shared" si="4"/>
        <v>OK</v>
      </c>
      <c r="N33" s="12" t="str">
        <f t="shared" si="5"/>
        <v>No issues found</v>
      </c>
    </row>
    <row r="34" spans="1:14" ht="18" customHeight="1" x14ac:dyDescent="0.2">
      <c r="A34" s="9" t="s">
        <v>82</v>
      </c>
      <c r="B34" s="9" t="s">
        <v>71</v>
      </c>
      <c r="C34" s="10">
        <v>45306</v>
      </c>
      <c r="D34" s="9" t="s">
        <v>22</v>
      </c>
      <c r="E34" s="11">
        <v>473150</v>
      </c>
      <c r="F34" s="9" t="s">
        <v>23</v>
      </c>
      <c r="G34" s="9" t="s">
        <v>18</v>
      </c>
      <c r="H34" s="9" t="s">
        <v>19</v>
      </c>
      <c r="I34" s="12" t="str">
        <f t="shared" ref="I34:I51" si="6">IF(COUNTIF($A$2:$A$51,A34)&gt;1,"DUPLICATE","OK")</f>
        <v>OK</v>
      </c>
      <c r="J34" s="12" t="str">
        <f t="shared" ref="J34:J51" si="7">IF(E34&lt;0,"NEGATIVE","OK")</f>
        <v>OK</v>
      </c>
      <c r="K34" s="12" t="str">
        <f t="shared" ref="K34:K51" si="8">IF(YEAR(C34)&lt;&gt;2024,"BAD YEAR: "&amp;YEAR(C34),"OK")</f>
        <v>OK</v>
      </c>
      <c r="L34" s="12" t="str">
        <f t="shared" ref="L34:L51" si="9">IF(AND(F34&lt;&gt;"Success",F34&lt;&gt;"Failed",F34&lt;&gt;"Pending"),"BAD CASING: '"&amp;F34&amp;"'","OK")</f>
        <v>OK</v>
      </c>
      <c r="M34" s="12" t="str">
        <f t="shared" ref="M34:M51" si="10">IF(H34="","MISSING","OK")</f>
        <v>OK</v>
      </c>
      <c r="N34" s="12" t="str">
        <f t="shared" ref="N34:N65" si="11">IF(I34="DUPLICATE","Duplicate ID: "&amp;A34,IF(J34="NEGATIVE","Negative amount: ₦"&amp;TEXT(E34,"#,##0"),IF(K34&lt;&gt;"OK","Date outlier: "&amp;TEXT(C34,"DD-MMM-YYYY"),IF(L34&lt;&gt;"OK","Status casing: '"&amp;F34&amp;"' should be title case",IF(M34="MISSING","Region: NULL/missing","No issues found")))))</f>
        <v>No issues found</v>
      </c>
    </row>
    <row r="35" spans="1:14" ht="18" customHeight="1" x14ac:dyDescent="0.2">
      <c r="A35" s="19" t="s">
        <v>83</v>
      </c>
      <c r="B35" s="19" t="s">
        <v>84</v>
      </c>
      <c r="C35" s="20">
        <v>45296</v>
      </c>
      <c r="D35" s="19" t="s">
        <v>54</v>
      </c>
      <c r="E35" s="21">
        <v>-439240</v>
      </c>
      <c r="F35" s="19" t="s">
        <v>23</v>
      </c>
      <c r="G35" s="19" t="s">
        <v>18</v>
      </c>
      <c r="H35" s="19" t="s">
        <v>24</v>
      </c>
      <c r="I35" s="19" t="str">
        <f t="shared" si="6"/>
        <v>OK</v>
      </c>
      <c r="J35" s="19" t="str">
        <f t="shared" si="7"/>
        <v>NEGATIVE</v>
      </c>
      <c r="K35" s="19" t="str">
        <f t="shared" si="8"/>
        <v>OK</v>
      </c>
      <c r="L35" s="19" t="str">
        <f t="shared" si="9"/>
        <v>OK</v>
      </c>
      <c r="M35" s="19" t="str">
        <f t="shared" si="10"/>
        <v>OK</v>
      </c>
      <c r="N35" s="19" t="str">
        <f t="shared" si="11"/>
        <v>Negative amount: ₦-439,240</v>
      </c>
    </row>
    <row r="36" spans="1:14" ht="18" customHeight="1" x14ac:dyDescent="0.2">
      <c r="A36" s="9" t="s">
        <v>85</v>
      </c>
      <c r="B36" s="9" t="s">
        <v>26</v>
      </c>
      <c r="C36" s="10">
        <v>45314</v>
      </c>
      <c r="D36" s="9" t="s">
        <v>54</v>
      </c>
      <c r="E36" s="11">
        <v>46560</v>
      </c>
      <c r="F36" s="9" t="s">
        <v>23</v>
      </c>
      <c r="G36" s="9" t="s">
        <v>18</v>
      </c>
      <c r="H36" s="9" t="s">
        <v>19</v>
      </c>
      <c r="I36" s="12" t="str">
        <f t="shared" si="6"/>
        <v>OK</v>
      </c>
      <c r="J36" s="12" t="str">
        <f t="shared" si="7"/>
        <v>OK</v>
      </c>
      <c r="K36" s="12" t="str">
        <f t="shared" si="8"/>
        <v>OK</v>
      </c>
      <c r="L36" s="12" t="str">
        <f t="shared" si="9"/>
        <v>OK</v>
      </c>
      <c r="M36" s="12" t="str">
        <f t="shared" si="10"/>
        <v>OK</v>
      </c>
      <c r="N36" s="12" t="str">
        <f t="shared" si="11"/>
        <v>No issues found</v>
      </c>
    </row>
    <row r="37" spans="1:14" ht="18" customHeight="1" x14ac:dyDescent="0.2">
      <c r="A37" s="13" t="s">
        <v>86</v>
      </c>
      <c r="B37" s="13" t="s">
        <v>63</v>
      </c>
      <c r="C37" s="14">
        <v>45312</v>
      </c>
      <c r="D37" s="13" t="s">
        <v>31</v>
      </c>
      <c r="E37" s="15">
        <v>7890</v>
      </c>
      <c r="F37" s="13" t="s">
        <v>17</v>
      </c>
      <c r="G37" s="13" t="s">
        <v>18</v>
      </c>
      <c r="H37" s="13" t="s">
        <v>39</v>
      </c>
      <c r="I37" s="12" t="str">
        <f t="shared" si="6"/>
        <v>OK</v>
      </c>
      <c r="J37" s="12" t="str">
        <f t="shared" si="7"/>
        <v>OK</v>
      </c>
      <c r="K37" s="12" t="str">
        <f t="shared" si="8"/>
        <v>OK</v>
      </c>
      <c r="L37" s="12" t="str">
        <f t="shared" si="9"/>
        <v>OK</v>
      </c>
      <c r="M37" s="12" t="str">
        <f t="shared" si="10"/>
        <v>OK</v>
      </c>
      <c r="N37" s="12" t="str">
        <f t="shared" si="11"/>
        <v>No issues found</v>
      </c>
    </row>
    <row r="38" spans="1:14" ht="18" customHeight="1" x14ac:dyDescent="0.2">
      <c r="A38" s="16" t="s">
        <v>87</v>
      </c>
      <c r="B38" s="16" t="s">
        <v>21</v>
      </c>
      <c r="C38" s="17">
        <v>45306</v>
      </c>
      <c r="D38" s="16" t="s">
        <v>22</v>
      </c>
      <c r="E38" s="18">
        <v>4000</v>
      </c>
      <c r="F38" s="16" t="s">
        <v>23</v>
      </c>
      <c r="G38" s="16" t="s">
        <v>28</v>
      </c>
      <c r="H38" s="16"/>
      <c r="I38" s="16" t="str">
        <f t="shared" si="6"/>
        <v>OK</v>
      </c>
      <c r="J38" s="16" t="str">
        <f t="shared" si="7"/>
        <v>OK</v>
      </c>
      <c r="K38" s="16" t="str">
        <f t="shared" si="8"/>
        <v>OK</v>
      </c>
      <c r="L38" s="16" t="str">
        <f t="shared" si="9"/>
        <v>OK</v>
      </c>
      <c r="M38" s="16" t="str">
        <f t="shared" si="10"/>
        <v>MISSING</v>
      </c>
      <c r="N38" s="16" t="str">
        <f t="shared" si="11"/>
        <v>Region: NULL/missing</v>
      </c>
    </row>
    <row r="39" spans="1:14" ht="18" customHeight="1" x14ac:dyDescent="0.2">
      <c r="A39" s="13" t="s">
        <v>88</v>
      </c>
      <c r="B39" s="13" t="s">
        <v>76</v>
      </c>
      <c r="C39" s="14">
        <v>45318</v>
      </c>
      <c r="D39" s="13" t="s">
        <v>54</v>
      </c>
      <c r="E39" s="15">
        <v>1710</v>
      </c>
      <c r="F39" s="13" t="s">
        <v>23</v>
      </c>
      <c r="G39" s="13" t="s">
        <v>38</v>
      </c>
      <c r="H39" s="13" t="s">
        <v>44</v>
      </c>
      <c r="I39" s="12" t="str">
        <f t="shared" si="6"/>
        <v>OK</v>
      </c>
      <c r="J39" s="12" t="str">
        <f t="shared" si="7"/>
        <v>OK</v>
      </c>
      <c r="K39" s="12" t="str">
        <f t="shared" si="8"/>
        <v>OK</v>
      </c>
      <c r="L39" s="12" t="str">
        <f t="shared" si="9"/>
        <v>OK</v>
      </c>
      <c r="M39" s="12" t="str">
        <f t="shared" si="10"/>
        <v>OK</v>
      </c>
      <c r="N39" s="12" t="str">
        <f t="shared" si="11"/>
        <v>No issues found</v>
      </c>
    </row>
    <row r="40" spans="1:14" ht="18" customHeight="1" x14ac:dyDescent="0.2">
      <c r="A40" s="16" t="s">
        <v>89</v>
      </c>
      <c r="B40" s="16" t="s">
        <v>26</v>
      </c>
      <c r="C40" s="17">
        <v>45313</v>
      </c>
      <c r="D40" s="16" t="s">
        <v>34</v>
      </c>
      <c r="E40" s="18">
        <v>459000</v>
      </c>
      <c r="F40" s="16" t="s">
        <v>90</v>
      </c>
      <c r="G40" s="16" t="s">
        <v>42</v>
      </c>
      <c r="H40" s="16" t="s">
        <v>24</v>
      </c>
      <c r="I40" s="16" t="str">
        <f t="shared" si="6"/>
        <v>OK</v>
      </c>
      <c r="J40" s="16" t="str">
        <f t="shared" si="7"/>
        <v>OK</v>
      </c>
      <c r="K40" s="16" t="str">
        <f t="shared" si="8"/>
        <v>OK</v>
      </c>
      <c r="L40" s="16" t="str">
        <f t="shared" si="9"/>
        <v>OK</v>
      </c>
      <c r="M40" s="16" t="str">
        <f t="shared" si="10"/>
        <v>OK</v>
      </c>
      <c r="N40" s="16" t="str">
        <f t="shared" si="11"/>
        <v>No issues found</v>
      </c>
    </row>
    <row r="41" spans="1:14" ht="18" customHeight="1" x14ac:dyDescent="0.2">
      <c r="A41" s="13" t="s">
        <v>91</v>
      </c>
      <c r="B41" s="13" t="s">
        <v>21</v>
      </c>
      <c r="C41" s="14">
        <v>45296</v>
      </c>
      <c r="D41" s="13" t="s">
        <v>34</v>
      </c>
      <c r="E41" s="15">
        <v>1830</v>
      </c>
      <c r="F41" s="13" t="s">
        <v>23</v>
      </c>
      <c r="G41" s="13" t="s">
        <v>18</v>
      </c>
      <c r="H41" s="13" t="s">
        <v>66</v>
      </c>
      <c r="I41" s="12" t="str">
        <f t="shared" si="6"/>
        <v>OK</v>
      </c>
      <c r="J41" s="12" t="str">
        <f t="shared" si="7"/>
        <v>OK</v>
      </c>
      <c r="K41" s="12" t="str">
        <f t="shared" si="8"/>
        <v>OK</v>
      </c>
      <c r="L41" s="12" t="str">
        <f t="shared" si="9"/>
        <v>OK</v>
      </c>
      <c r="M41" s="12" t="str">
        <f t="shared" si="10"/>
        <v>OK</v>
      </c>
      <c r="N41" s="12" t="str">
        <f t="shared" si="11"/>
        <v>No issues found</v>
      </c>
    </row>
    <row r="42" spans="1:14" ht="18" customHeight="1" x14ac:dyDescent="0.2">
      <c r="A42" s="9" t="s">
        <v>92</v>
      </c>
      <c r="B42" s="9" t="s">
        <v>48</v>
      </c>
      <c r="C42" s="10">
        <v>45313</v>
      </c>
      <c r="D42" s="9" t="s">
        <v>34</v>
      </c>
      <c r="E42" s="11">
        <v>462810</v>
      </c>
      <c r="F42" s="9" t="s">
        <v>23</v>
      </c>
      <c r="G42" s="9" t="s">
        <v>38</v>
      </c>
      <c r="H42" s="9" t="s">
        <v>66</v>
      </c>
      <c r="I42" s="12" t="str">
        <f t="shared" si="6"/>
        <v>OK</v>
      </c>
      <c r="J42" s="12" t="str">
        <f t="shared" si="7"/>
        <v>OK</v>
      </c>
      <c r="K42" s="12" t="str">
        <f t="shared" si="8"/>
        <v>OK</v>
      </c>
      <c r="L42" s="12" t="str">
        <f t="shared" si="9"/>
        <v>OK</v>
      </c>
      <c r="M42" s="12" t="str">
        <f t="shared" si="10"/>
        <v>OK</v>
      </c>
      <c r="N42" s="12" t="str">
        <f t="shared" si="11"/>
        <v>No issues found</v>
      </c>
    </row>
    <row r="43" spans="1:14" ht="18" customHeight="1" x14ac:dyDescent="0.2">
      <c r="A43" s="13" t="s">
        <v>93</v>
      </c>
      <c r="B43" s="13" t="s">
        <v>46</v>
      </c>
      <c r="C43" s="14">
        <v>45298</v>
      </c>
      <c r="D43" s="13" t="s">
        <v>31</v>
      </c>
      <c r="E43" s="15">
        <v>3360</v>
      </c>
      <c r="F43" s="13" t="s">
        <v>23</v>
      </c>
      <c r="G43" s="13" t="s">
        <v>28</v>
      </c>
      <c r="H43" s="13" t="s">
        <v>66</v>
      </c>
      <c r="I43" s="12" t="str">
        <f t="shared" si="6"/>
        <v>OK</v>
      </c>
      <c r="J43" s="12" t="str">
        <f t="shared" si="7"/>
        <v>OK</v>
      </c>
      <c r="K43" s="12" t="str">
        <f t="shared" si="8"/>
        <v>OK</v>
      </c>
      <c r="L43" s="12" t="str">
        <f t="shared" si="9"/>
        <v>OK</v>
      </c>
      <c r="M43" s="12" t="str">
        <f t="shared" si="10"/>
        <v>OK</v>
      </c>
      <c r="N43" s="12" t="str">
        <f t="shared" si="11"/>
        <v>No issues found</v>
      </c>
    </row>
    <row r="44" spans="1:14" ht="18" customHeight="1" x14ac:dyDescent="0.2">
      <c r="A44" s="9" t="s">
        <v>94</v>
      </c>
      <c r="B44" s="9" t="s">
        <v>95</v>
      </c>
      <c r="C44" s="10">
        <v>45300</v>
      </c>
      <c r="D44" s="9" t="s">
        <v>16</v>
      </c>
      <c r="E44" s="11">
        <v>386320</v>
      </c>
      <c r="F44" s="9" t="s">
        <v>23</v>
      </c>
      <c r="G44" s="9" t="s">
        <v>18</v>
      </c>
      <c r="H44" s="9" t="s">
        <v>19</v>
      </c>
      <c r="I44" s="12" t="str">
        <f t="shared" si="6"/>
        <v>OK</v>
      </c>
      <c r="J44" s="12" t="str">
        <f t="shared" si="7"/>
        <v>OK</v>
      </c>
      <c r="K44" s="12" t="str">
        <f t="shared" si="8"/>
        <v>OK</v>
      </c>
      <c r="L44" s="12" t="str">
        <f t="shared" si="9"/>
        <v>OK</v>
      </c>
      <c r="M44" s="12" t="str">
        <f t="shared" si="10"/>
        <v>OK</v>
      </c>
      <c r="N44" s="12" t="str">
        <f t="shared" si="11"/>
        <v>No issues found</v>
      </c>
    </row>
    <row r="45" spans="1:14" ht="18" customHeight="1" x14ac:dyDescent="0.2">
      <c r="A45" s="16" t="s">
        <v>96</v>
      </c>
      <c r="B45" s="16" t="s">
        <v>97</v>
      </c>
      <c r="C45" s="17">
        <v>45320</v>
      </c>
      <c r="D45" s="16" t="s">
        <v>54</v>
      </c>
      <c r="E45" s="18">
        <v>1960</v>
      </c>
      <c r="F45" s="16" t="s">
        <v>37</v>
      </c>
      <c r="G45" s="16" t="s">
        <v>42</v>
      </c>
      <c r="H45" s="16" t="s">
        <v>44</v>
      </c>
      <c r="I45" s="16" t="str">
        <f t="shared" si="6"/>
        <v>OK</v>
      </c>
      <c r="J45" s="16" t="str">
        <f t="shared" si="7"/>
        <v>OK</v>
      </c>
      <c r="K45" s="16" t="str">
        <f t="shared" si="8"/>
        <v>OK</v>
      </c>
      <c r="L45" s="16" t="str">
        <f t="shared" si="9"/>
        <v>OK</v>
      </c>
      <c r="M45" s="16" t="str">
        <f t="shared" si="10"/>
        <v>OK</v>
      </c>
      <c r="N45" s="16" t="str">
        <f t="shared" si="11"/>
        <v>No issues found</v>
      </c>
    </row>
    <row r="46" spans="1:14" ht="18" customHeight="1" x14ac:dyDescent="0.2">
      <c r="A46" s="9" t="s">
        <v>98</v>
      </c>
      <c r="B46" s="9" t="s">
        <v>21</v>
      </c>
      <c r="C46" s="10">
        <v>45317</v>
      </c>
      <c r="D46" s="9" t="s">
        <v>54</v>
      </c>
      <c r="E46" s="11">
        <v>4070</v>
      </c>
      <c r="F46" s="9" t="s">
        <v>23</v>
      </c>
      <c r="G46" s="9" t="s">
        <v>28</v>
      </c>
      <c r="H46" s="9" t="s">
        <v>44</v>
      </c>
      <c r="I46" s="12" t="str">
        <f t="shared" si="6"/>
        <v>OK</v>
      </c>
      <c r="J46" s="12" t="str">
        <f t="shared" si="7"/>
        <v>OK</v>
      </c>
      <c r="K46" s="12" t="str">
        <f t="shared" si="8"/>
        <v>OK</v>
      </c>
      <c r="L46" s="12" t="str">
        <f t="shared" si="9"/>
        <v>OK</v>
      </c>
      <c r="M46" s="12" t="str">
        <f t="shared" si="10"/>
        <v>OK</v>
      </c>
      <c r="N46" s="12" t="str">
        <f t="shared" si="11"/>
        <v>No issues found</v>
      </c>
    </row>
    <row r="47" spans="1:14" ht="18" customHeight="1" x14ac:dyDescent="0.2">
      <c r="A47" s="13" t="s">
        <v>99</v>
      </c>
      <c r="B47" s="13" t="s">
        <v>76</v>
      </c>
      <c r="C47" s="14">
        <v>45314</v>
      </c>
      <c r="D47" s="13" t="s">
        <v>31</v>
      </c>
      <c r="E47" s="15">
        <v>472840</v>
      </c>
      <c r="F47" s="13" t="s">
        <v>23</v>
      </c>
      <c r="G47" s="13" t="s">
        <v>28</v>
      </c>
      <c r="H47" s="13" t="s">
        <v>44</v>
      </c>
      <c r="I47" s="12" t="str">
        <f t="shared" si="6"/>
        <v>OK</v>
      </c>
      <c r="J47" s="12" t="str">
        <f t="shared" si="7"/>
        <v>OK</v>
      </c>
      <c r="K47" s="12" t="str">
        <f t="shared" si="8"/>
        <v>OK</v>
      </c>
      <c r="L47" s="12" t="str">
        <f t="shared" si="9"/>
        <v>OK</v>
      </c>
      <c r="M47" s="12" t="str">
        <f t="shared" si="10"/>
        <v>OK</v>
      </c>
      <c r="N47" s="12" t="str">
        <f t="shared" si="11"/>
        <v>No issues found</v>
      </c>
    </row>
    <row r="48" spans="1:14" ht="18" customHeight="1" x14ac:dyDescent="0.2">
      <c r="A48" s="9" t="s">
        <v>100</v>
      </c>
      <c r="B48" s="9" t="s">
        <v>101</v>
      </c>
      <c r="C48" s="10">
        <v>45294</v>
      </c>
      <c r="D48" s="9" t="s">
        <v>54</v>
      </c>
      <c r="E48" s="11">
        <v>3070</v>
      </c>
      <c r="F48" s="9" t="s">
        <v>17</v>
      </c>
      <c r="G48" s="9" t="s">
        <v>18</v>
      </c>
      <c r="H48" s="9" t="s">
        <v>24</v>
      </c>
      <c r="I48" s="12" t="str">
        <f t="shared" si="6"/>
        <v>OK</v>
      </c>
      <c r="J48" s="12" t="str">
        <f t="shared" si="7"/>
        <v>OK</v>
      </c>
      <c r="K48" s="12" t="str">
        <f t="shared" si="8"/>
        <v>OK</v>
      </c>
      <c r="L48" s="12" t="str">
        <f t="shared" si="9"/>
        <v>OK</v>
      </c>
      <c r="M48" s="12" t="str">
        <f t="shared" si="10"/>
        <v>OK</v>
      </c>
      <c r="N48" s="12" t="str">
        <f t="shared" si="11"/>
        <v>No issues found</v>
      </c>
    </row>
    <row r="49" spans="1:14" ht="18" customHeight="1" x14ac:dyDescent="0.2">
      <c r="A49" s="13" t="s">
        <v>102</v>
      </c>
      <c r="B49" s="13" t="s">
        <v>52</v>
      </c>
      <c r="C49" s="14">
        <v>45313</v>
      </c>
      <c r="D49" s="13" t="s">
        <v>31</v>
      </c>
      <c r="E49" s="15">
        <v>31370</v>
      </c>
      <c r="F49" s="13" t="s">
        <v>23</v>
      </c>
      <c r="G49" s="13" t="s">
        <v>28</v>
      </c>
      <c r="H49" s="13" t="s">
        <v>66</v>
      </c>
      <c r="I49" s="12" t="str">
        <f t="shared" si="6"/>
        <v>OK</v>
      </c>
      <c r="J49" s="12" t="str">
        <f t="shared" si="7"/>
        <v>OK</v>
      </c>
      <c r="K49" s="12" t="str">
        <f t="shared" si="8"/>
        <v>OK</v>
      </c>
      <c r="L49" s="12" t="str">
        <f t="shared" si="9"/>
        <v>OK</v>
      </c>
      <c r="M49" s="12" t="str">
        <f t="shared" si="10"/>
        <v>OK</v>
      </c>
      <c r="N49" s="12" t="str">
        <f t="shared" si="11"/>
        <v>No issues found</v>
      </c>
    </row>
    <row r="50" spans="1:14" ht="18" customHeight="1" x14ac:dyDescent="0.2">
      <c r="A50" s="9" t="s">
        <v>103</v>
      </c>
      <c r="B50" s="9" t="s">
        <v>59</v>
      </c>
      <c r="C50" s="10">
        <v>45322</v>
      </c>
      <c r="D50" s="9" t="s">
        <v>31</v>
      </c>
      <c r="E50" s="11">
        <v>45340</v>
      </c>
      <c r="F50" s="9" t="s">
        <v>23</v>
      </c>
      <c r="G50" s="9" t="s">
        <v>38</v>
      </c>
      <c r="H50" s="9" t="s">
        <v>44</v>
      </c>
      <c r="I50" s="12" t="str">
        <f t="shared" si="6"/>
        <v>OK</v>
      </c>
      <c r="J50" s="12" t="str">
        <f t="shared" si="7"/>
        <v>OK</v>
      </c>
      <c r="K50" s="12" t="str">
        <f t="shared" si="8"/>
        <v>OK</v>
      </c>
      <c r="L50" s="12" t="str">
        <f t="shared" si="9"/>
        <v>OK</v>
      </c>
      <c r="M50" s="12" t="str">
        <f t="shared" si="10"/>
        <v>OK</v>
      </c>
      <c r="N50" s="12" t="str">
        <f t="shared" si="11"/>
        <v>No issues found</v>
      </c>
    </row>
    <row r="51" spans="1:14" ht="18" customHeight="1" x14ac:dyDescent="0.2">
      <c r="A51" s="13" t="s">
        <v>104</v>
      </c>
      <c r="B51" s="13" t="s">
        <v>52</v>
      </c>
      <c r="C51" s="14">
        <v>45298</v>
      </c>
      <c r="D51" s="13" t="s">
        <v>31</v>
      </c>
      <c r="E51" s="15">
        <v>35470</v>
      </c>
      <c r="F51" s="13" t="s">
        <v>23</v>
      </c>
      <c r="G51" s="13" t="s">
        <v>42</v>
      </c>
      <c r="H51" s="13" t="s">
        <v>39</v>
      </c>
      <c r="I51" s="12" t="str">
        <f t="shared" si="6"/>
        <v>OK</v>
      </c>
      <c r="J51" s="12" t="str">
        <f t="shared" si="7"/>
        <v>OK</v>
      </c>
      <c r="K51" s="12" t="str">
        <f t="shared" si="8"/>
        <v>OK</v>
      </c>
      <c r="L51" s="12" t="str">
        <f t="shared" si="9"/>
        <v>OK</v>
      </c>
      <c r="M51" s="12" t="str">
        <f t="shared" si="10"/>
        <v>OK</v>
      </c>
      <c r="N51" s="12" t="str">
        <f t="shared" si="11"/>
        <v>No issues found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zoomScaleNormal="100" workbookViewId="0">
      <selection activeCell="H19" sqref="H19"/>
    </sheetView>
  </sheetViews>
  <sheetFormatPr baseColWidth="10" defaultColWidth="8.6640625" defaultRowHeight="15" x14ac:dyDescent="0.2"/>
  <cols>
    <col min="1" max="1" width="20" customWidth="1"/>
    <col min="2" max="2" width="15" customWidth="1"/>
    <col min="3" max="3" width="14" customWidth="1"/>
    <col min="4" max="5" width="18" customWidth="1"/>
    <col min="6" max="7" width="22" customWidth="1"/>
    <col min="8" max="8" width="55" customWidth="1"/>
    <col min="9" max="9" width="38" customWidth="1"/>
  </cols>
  <sheetData>
    <row r="1" spans="1:9" ht="27.75" customHeight="1" x14ac:dyDescent="0.2">
      <c r="A1" s="6" t="s">
        <v>196</v>
      </c>
      <c r="B1" s="6"/>
      <c r="C1" s="6"/>
      <c r="D1" s="6"/>
      <c r="E1" s="6"/>
      <c r="F1" s="6"/>
      <c r="G1" s="6"/>
      <c r="H1" s="6"/>
      <c r="I1" s="6"/>
    </row>
    <row r="2" spans="1:9" ht="30" customHeight="1" x14ac:dyDescent="0.2">
      <c r="A2" s="35" t="s">
        <v>105</v>
      </c>
      <c r="B2" s="35" t="s">
        <v>106</v>
      </c>
      <c r="C2" s="35" t="s">
        <v>107</v>
      </c>
      <c r="D2" s="35" t="s">
        <v>108</v>
      </c>
      <c r="E2" s="35" t="s">
        <v>109</v>
      </c>
      <c r="F2" s="35" t="s">
        <v>110</v>
      </c>
      <c r="G2" s="35" t="s">
        <v>111</v>
      </c>
      <c r="H2" s="35" t="s">
        <v>112</v>
      </c>
      <c r="I2" s="35" t="s">
        <v>113</v>
      </c>
    </row>
    <row r="3" spans="1:9" ht="54.75" customHeight="1" x14ac:dyDescent="0.2">
      <c r="A3" s="36" t="s">
        <v>0</v>
      </c>
      <c r="B3" s="37" t="s">
        <v>114</v>
      </c>
      <c r="C3" s="37">
        <f>COUNTA(transactions_jan2024!A2:A51)</f>
        <v>50</v>
      </c>
      <c r="D3" s="37">
        <f>COUNTBLANK(transactions_jan2024!A2:A51)</f>
        <v>0</v>
      </c>
      <c r="E3" s="37">
        <f>SUMPRODUCT(1/COUNTIF(transactions_jan2024!A2:A51,transactions_jan2024!A2:A51))</f>
        <v>48</v>
      </c>
      <c r="F3" s="37" t="s">
        <v>14</v>
      </c>
      <c r="G3" s="37" t="s">
        <v>104</v>
      </c>
      <c r="H3" s="37" t="s">
        <v>187</v>
      </c>
      <c r="I3" s="37" t="s">
        <v>192</v>
      </c>
    </row>
    <row r="4" spans="1:9" ht="54.75" customHeight="1" x14ac:dyDescent="0.2">
      <c r="A4" s="38" t="s">
        <v>1</v>
      </c>
      <c r="B4" s="39" t="s">
        <v>114</v>
      </c>
      <c r="C4" s="39">
        <f>COUNTA(transactions_jan2024!B2:B51)</f>
        <v>50</v>
      </c>
      <c r="D4" s="39">
        <f>COUNTBLANK(transactions_jan2024!B2:B51)</f>
        <v>0</v>
      </c>
      <c r="E4" s="39">
        <f>SUMPRODUCT(1/COUNTIF(transactions_jan2024!B2:B51,transactions_jan2024!B2:B51))</f>
        <v>21.999999999999989</v>
      </c>
      <c r="F4" s="39" t="s">
        <v>186</v>
      </c>
      <c r="G4" s="39" t="s">
        <v>186</v>
      </c>
      <c r="H4" s="39" t="s">
        <v>115</v>
      </c>
      <c r="I4" s="39" t="s">
        <v>190</v>
      </c>
    </row>
    <row r="5" spans="1:9" ht="54.75" customHeight="1" x14ac:dyDescent="0.2">
      <c r="A5" s="36" t="s">
        <v>2</v>
      </c>
      <c r="B5" s="37" t="s">
        <v>116</v>
      </c>
      <c r="C5" s="37">
        <f>COUNTA(transactions_jan2024!C2:C51)</f>
        <v>50</v>
      </c>
      <c r="D5" s="37">
        <f>COUNTBLANK(transactions_jan2024!C2:C51)</f>
        <v>0</v>
      </c>
      <c r="E5" s="37">
        <f>SUMPRODUCT(1/COUNTIF(transactions_jan2024!C2:C51,transactions_jan2024!C2:C51))</f>
        <v>25.999999999999996</v>
      </c>
      <c r="F5" s="37" t="str">
        <f>TEXT(MIN(transactions_jan2024!C2:C51),"DD-MMM-YYYY")</f>
        <v>17-Jan-2004</v>
      </c>
      <c r="G5" s="37" t="str">
        <f>TEXT(MAX(transactions_jan2024!C2:C51),"DD-MMM-YYYY")</f>
        <v>31-Jan-2024</v>
      </c>
      <c r="H5" s="37" t="s">
        <v>188</v>
      </c>
      <c r="I5" s="37" t="s">
        <v>191</v>
      </c>
    </row>
    <row r="6" spans="1:9" ht="54.75" customHeight="1" x14ac:dyDescent="0.2">
      <c r="A6" s="38" t="s">
        <v>3</v>
      </c>
      <c r="B6" s="39" t="s">
        <v>114</v>
      </c>
      <c r="C6" s="39">
        <f>COUNTA(transactions_jan2024!D2:D51)</f>
        <v>50</v>
      </c>
      <c r="D6" s="39">
        <f>COUNTBLANK(transactions_jan2024!D2:D51)</f>
        <v>0</v>
      </c>
      <c r="E6" s="39">
        <f>SUMPRODUCT(1/COUNTIF(transactions_jan2024!D2:D51,transactions_jan2024!D2:D51))</f>
        <v>5</v>
      </c>
      <c r="F6" s="39" t="s">
        <v>34</v>
      </c>
      <c r="G6" s="39" t="s">
        <v>31</v>
      </c>
      <c r="H6" s="39" t="s">
        <v>117</v>
      </c>
      <c r="I6" s="39" t="s">
        <v>190</v>
      </c>
    </row>
    <row r="7" spans="1:9" ht="54.75" customHeight="1" x14ac:dyDescent="0.2">
      <c r="A7" s="36" t="s">
        <v>4</v>
      </c>
      <c r="B7" s="37" t="s">
        <v>118</v>
      </c>
      <c r="C7" s="37">
        <f>COUNTA(transactions_jan2024!E2:E51)</f>
        <v>50</v>
      </c>
      <c r="D7" s="37">
        <f>COUNTBLANK(transactions_jan2024!E2:E51)</f>
        <v>0</v>
      </c>
      <c r="E7" s="37">
        <f>SUMPRODUCT(1/COUNTIF(transactions_jan2024!E2:E51,transactions_jan2024!E2:E51))</f>
        <v>50</v>
      </c>
      <c r="F7" s="37">
        <f>MIN(transactions_jan2024!E2:E51)</f>
        <v>-439240</v>
      </c>
      <c r="G7" s="37">
        <f>MAX(transactions_jan2024!E2:E51)</f>
        <v>473150</v>
      </c>
      <c r="H7" s="37" t="s">
        <v>119</v>
      </c>
      <c r="I7" s="37" t="s">
        <v>193</v>
      </c>
    </row>
    <row r="8" spans="1:9" ht="54.75" customHeight="1" x14ac:dyDescent="0.2">
      <c r="A8" s="36" t="s">
        <v>5</v>
      </c>
      <c r="B8" s="37" t="s">
        <v>114</v>
      </c>
      <c r="C8" s="37">
        <f>COUNTA(transactions_jan2024!F2:F51)</f>
        <v>50</v>
      </c>
      <c r="D8" s="37">
        <f>COUNTBLANK(transactions_jan2024!F2:F51)</f>
        <v>0</v>
      </c>
      <c r="E8" s="37">
        <f>SUMPRODUCT(1/COUNTIF(transactions_jan2024!F2:F51,transactions_jan2024!F2:F51))</f>
        <v>2.9999999999999978</v>
      </c>
      <c r="F8" s="37" t="s">
        <v>120</v>
      </c>
      <c r="G8" s="37" t="s">
        <v>120</v>
      </c>
      <c r="H8" s="37" t="s">
        <v>121</v>
      </c>
      <c r="I8" s="37" t="s">
        <v>194</v>
      </c>
    </row>
    <row r="9" spans="1:9" ht="54.75" customHeight="1" x14ac:dyDescent="0.2">
      <c r="A9" s="38" t="s">
        <v>6</v>
      </c>
      <c r="B9" s="39" t="s">
        <v>114</v>
      </c>
      <c r="C9" s="39">
        <f>COUNTA(transactions_jan2024!G2:G51)</f>
        <v>50</v>
      </c>
      <c r="D9" s="39">
        <f>COUNTBLANK(transactions_jan2024!G2:G51)</f>
        <v>0</v>
      </c>
      <c r="E9" s="39">
        <f>SUMPRODUCT(1/COUNTIF(transactions_jan2024!G2:G51,transactions_jan2024!G2:G51))</f>
        <v>4.0000000000000009</v>
      </c>
      <c r="F9" s="39" t="s">
        <v>42</v>
      </c>
      <c r="G9" s="39" t="s">
        <v>28</v>
      </c>
      <c r="H9" s="39" t="s">
        <v>122</v>
      </c>
      <c r="I9" s="39" t="s">
        <v>190</v>
      </c>
    </row>
    <row r="10" spans="1:9" ht="54.75" customHeight="1" x14ac:dyDescent="0.2">
      <c r="A10" s="36" t="s">
        <v>7</v>
      </c>
      <c r="B10" s="37" t="s">
        <v>114</v>
      </c>
      <c r="C10" s="37">
        <f>COUNTA(transactions_jan2024!H2:H51)</f>
        <v>45</v>
      </c>
      <c r="D10" s="37">
        <f>COUNTBLANK(transactions_jan2024!H2:H51)</f>
        <v>5</v>
      </c>
      <c r="E10" s="37">
        <f>SUMPRODUCT((transactions_jan2024!H2:H51&lt;&gt;"")/COUNTIF(transactions_jan2024!H2:H51,transactions_jan2024!H2:H51&amp;""))</f>
        <v>4.9999999999999982</v>
      </c>
      <c r="F10" s="37" t="s">
        <v>39</v>
      </c>
      <c r="G10" s="37" t="s">
        <v>66</v>
      </c>
      <c r="H10" s="37" t="s">
        <v>189</v>
      </c>
      <c r="I10" s="37" t="s">
        <v>195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topLeftCell="A11" zoomScaleNormal="100" workbookViewId="0">
      <selection activeCell="B23" sqref="B23"/>
    </sheetView>
  </sheetViews>
  <sheetFormatPr baseColWidth="10" defaultColWidth="8.6640625" defaultRowHeight="15" x14ac:dyDescent="0.2"/>
  <cols>
    <col min="1" max="1" width="32" customWidth="1"/>
    <col min="2" max="2" width="80" customWidth="1"/>
  </cols>
  <sheetData>
    <row r="1" spans="1:2" ht="34.5" customHeight="1" x14ac:dyDescent="0.2">
      <c r="A1" s="5" t="s">
        <v>123</v>
      </c>
      <c r="B1" s="5"/>
    </row>
    <row r="2" spans="1:2" ht="18" customHeight="1" x14ac:dyDescent="0.2">
      <c r="A2" s="4" t="s">
        <v>124</v>
      </c>
      <c r="B2" s="4"/>
    </row>
    <row r="3" spans="1:2" ht="24" customHeight="1" x14ac:dyDescent="0.2">
      <c r="A3" s="3" t="s">
        <v>125</v>
      </c>
      <c r="B3" s="3"/>
    </row>
    <row r="4" spans="1:2" ht="45" customHeight="1" x14ac:dyDescent="0.2">
      <c r="A4" s="2" t="s">
        <v>126</v>
      </c>
      <c r="B4" s="2" t="s">
        <v>127</v>
      </c>
    </row>
    <row r="5" spans="1:2" ht="45" customHeight="1" x14ac:dyDescent="0.2">
      <c r="A5" s="24" t="s">
        <v>128</v>
      </c>
      <c r="B5" s="25" t="s">
        <v>129</v>
      </c>
    </row>
    <row r="6" spans="1:2" ht="45" customHeight="1" x14ac:dyDescent="0.2">
      <c r="A6" s="24" t="s">
        <v>130</v>
      </c>
      <c r="B6" s="25" t="s">
        <v>131</v>
      </c>
    </row>
    <row r="7" spans="1:2" ht="45" customHeight="1" x14ac:dyDescent="0.2">
      <c r="A7" s="24" t="s">
        <v>132</v>
      </c>
      <c r="B7" s="25" t="s">
        <v>133</v>
      </c>
    </row>
    <row r="8" spans="1:2" ht="45" customHeight="1" x14ac:dyDescent="0.2">
      <c r="A8" s="24" t="s">
        <v>134</v>
      </c>
      <c r="B8" s="25" t="s">
        <v>135</v>
      </c>
    </row>
    <row r="9" spans="1:2" ht="79.5" customHeight="1" x14ac:dyDescent="0.2">
      <c r="A9" s="24" t="s">
        <v>136</v>
      </c>
      <c r="B9" s="25" t="s">
        <v>137</v>
      </c>
    </row>
    <row r="10" spans="1:2" ht="39.75" customHeight="1" x14ac:dyDescent="0.2"/>
    <row r="11" spans="1:2" ht="24" customHeight="1" x14ac:dyDescent="0.2">
      <c r="A11" s="3" t="s">
        <v>138</v>
      </c>
      <c r="B11" s="3"/>
    </row>
    <row r="12" spans="1:2" ht="75" customHeight="1" x14ac:dyDescent="0.2">
      <c r="A12" s="2" t="s">
        <v>139</v>
      </c>
      <c r="B12" s="2" t="s">
        <v>140</v>
      </c>
    </row>
    <row r="13" spans="1:2" ht="60" customHeight="1" x14ac:dyDescent="0.2">
      <c r="A13" s="24" t="s">
        <v>141</v>
      </c>
      <c r="B13" s="25" t="s">
        <v>142</v>
      </c>
    </row>
    <row r="14" spans="1:2" ht="69.75" customHeight="1" x14ac:dyDescent="0.2">
      <c r="A14" s="24" t="s">
        <v>143</v>
      </c>
      <c r="B14" s="25" t="s">
        <v>144</v>
      </c>
    </row>
    <row r="15" spans="1:2" ht="79.5" customHeight="1" x14ac:dyDescent="0.2">
      <c r="A15" s="24" t="s">
        <v>145</v>
      </c>
      <c r="B15" s="25" t="s">
        <v>146</v>
      </c>
    </row>
    <row r="16" spans="1:2" ht="60" customHeight="1" x14ac:dyDescent="0.2">
      <c r="A16" s="24" t="s">
        <v>147</v>
      </c>
      <c r="B16" s="25" t="s">
        <v>148</v>
      </c>
    </row>
    <row r="17" spans="1:2" ht="94.5" customHeight="1" x14ac:dyDescent="0.2">
      <c r="A17" s="24" t="s">
        <v>149</v>
      </c>
      <c r="B17" s="26" t="s">
        <v>150</v>
      </c>
    </row>
    <row r="18" spans="1:2" ht="39.75" customHeight="1" x14ac:dyDescent="0.2"/>
    <row r="19" spans="1:2" ht="24" customHeight="1" x14ac:dyDescent="0.2">
      <c r="A19" s="3" t="s">
        <v>151</v>
      </c>
      <c r="B19" s="3"/>
    </row>
    <row r="20" spans="1:2" ht="45" customHeight="1" x14ac:dyDescent="0.2">
      <c r="A20" s="2" t="s">
        <v>152</v>
      </c>
      <c r="B20" s="2" t="s">
        <v>153</v>
      </c>
    </row>
    <row r="21" spans="1:2" ht="45" customHeight="1" x14ac:dyDescent="0.2">
      <c r="A21" s="24" t="s">
        <v>154</v>
      </c>
      <c r="B21" s="25" t="s">
        <v>155</v>
      </c>
    </row>
    <row r="22" spans="1:2" ht="45" customHeight="1" x14ac:dyDescent="0.2">
      <c r="A22" s="24" t="s">
        <v>156</v>
      </c>
      <c r="B22" s="25" t="s">
        <v>157</v>
      </c>
    </row>
    <row r="23" spans="1:2" ht="45" customHeight="1" x14ac:dyDescent="0.2">
      <c r="A23" s="24" t="s">
        <v>154</v>
      </c>
      <c r="B23" s="25" t="s">
        <v>158</v>
      </c>
    </row>
    <row r="24" spans="1:2" ht="45" customHeight="1" x14ac:dyDescent="0.2">
      <c r="A24" s="24" t="s">
        <v>159</v>
      </c>
      <c r="B24" s="25" t="s">
        <v>160</v>
      </c>
    </row>
    <row r="25" spans="1:2" ht="45" customHeight="1" x14ac:dyDescent="0.2">
      <c r="A25" s="24" t="s">
        <v>154</v>
      </c>
      <c r="B25" s="25" t="s">
        <v>161</v>
      </c>
    </row>
    <row r="27" spans="1:2" ht="39.75" customHeight="1" x14ac:dyDescent="0.2"/>
    <row r="28" spans="1:2" ht="39.75" customHeight="1" x14ac:dyDescent="0.2"/>
    <row r="30" spans="1:2" ht="24" customHeight="1" x14ac:dyDescent="0.2">
      <c r="A30" s="1"/>
      <c r="B30" s="1"/>
    </row>
    <row r="31" spans="1:2" ht="39.75" customHeight="1" x14ac:dyDescent="0.2"/>
    <row r="32" spans="1:2" ht="39.75" customHeight="1" x14ac:dyDescent="0.2"/>
    <row r="33" ht="39.75" customHeight="1" x14ac:dyDescent="0.2"/>
    <row r="34" ht="39.75" customHeight="1" x14ac:dyDescent="0.2"/>
    <row r="35" ht="39.75" customHeight="1" x14ac:dyDescent="0.2"/>
  </sheetData>
  <mergeCells count="9">
    <mergeCell ref="A12:B12"/>
    <mergeCell ref="A19:B19"/>
    <mergeCell ref="A20:B20"/>
    <mergeCell ref="A30:B30"/>
    <mergeCell ref="A1:B1"/>
    <mergeCell ref="A2:B2"/>
    <mergeCell ref="A3:B3"/>
    <mergeCell ref="A4:B4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38" customWidth="1"/>
    <col min="2" max="2" width="55" customWidth="1"/>
    <col min="3" max="3" width="28" customWidth="1"/>
    <col min="4" max="4" width="50" customWidth="1"/>
  </cols>
  <sheetData>
    <row r="1" spans="1:4" ht="30" customHeight="1" x14ac:dyDescent="0.2">
      <c r="A1" s="6" t="s">
        <v>162</v>
      </c>
      <c r="B1" s="6"/>
      <c r="C1" s="6"/>
      <c r="D1" s="6"/>
    </row>
    <row r="2" spans="1:4" ht="24" customHeight="1" x14ac:dyDescent="0.2">
      <c r="A2" s="23" t="s">
        <v>163</v>
      </c>
      <c r="B2" s="23" t="s">
        <v>164</v>
      </c>
      <c r="C2" s="23" t="s">
        <v>165</v>
      </c>
      <c r="D2" s="23" t="s">
        <v>166</v>
      </c>
    </row>
    <row r="3" spans="1:4" ht="54.75" customHeight="1" x14ac:dyDescent="0.2">
      <c r="A3" s="27" t="s">
        <v>167</v>
      </c>
      <c r="B3" s="28">
        <f>SUM(transactions_jan2024!E2:E51)</f>
        <v>6145400</v>
      </c>
      <c r="C3" s="29">
        <f>SUM(transactions_jan2024!E2:E51)</f>
        <v>6145400</v>
      </c>
      <c r="D3" s="30" t="s">
        <v>168</v>
      </c>
    </row>
    <row r="4" spans="1:4" ht="54.75" customHeight="1" x14ac:dyDescent="0.2">
      <c r="A4" s="31" t="s">
        <v>169</v>
      </c>
      <c r="B4" s="32">
        <f>COUNTIF(transactions_jan2024!F2:F51,"Success")/COUNTA(transactions_jan2024!F2:F51)</f>
        <v>0.72</v>
      </c>
      <c r="C4" s="33">
        <f>COUNTIF(transactions_jan2024!F2:F51,"Success")/COUNTA(transactions_jan2024!F2:F51)</f>
        <v>0.72</v>
      </c>
      <c r="D4" s="34" t="s">
        <v>170</v>
      </c>
    </row>
    <row r="5" spans="1:4" ht="54.75" customHeight="1" x14ac:dyDescent="0.2">
      <c r="A5" s="27" t="s">
        <v>171</v>
      </c>
      <c r="B5" s="28" t="s">
        <v>172</v>
      </c>
      <c r="C5" s="29" t="s">
        <v>173</v>
      </c>
      <c r="D5" s="30" t="s">
        <v>174</v>
      </c>
    </row>
    <row r="6" spans="1:4" ht="54.75" customHeight="1" x14ac:dyDescent="0.2">
      <c r="A6" s="31" t="s">
        <v>175</v>
      </c>
      <c r="B6" s="32">
        <f>AVERAGEIF(transactions_jan2024!D2:D51,"Withdrawal",transactions_jan2024!E2:E51)</f>
        <v>71465.454545454544</v>
      </c>
      <c r="C6" s="33">
        <f>AVERAGEIF(transactions_jan2024!D2:D51,"Withdrawal",transactions_jan2024!E2:E51)</f>
        <v>71465.454545454544</v>
      </c>
      <c r="D6" s="34" t="s">
        <v>176</v>
      </c>
    </row>
    <row r="7" spans="1:4" ht="54.75" customHeight="1" x14ac:dyDescent="0.2">
      <c r="A7" s="27" t="s">
        <v>177</v>
      </c>
      <c r="B7" s="28">
        <f>SUMPRODUCT(1/COUNTIF(transactions_jan2024!B2:B51,transactions_jan2024!B2:B51))</f>
        <v>21.999999999999989</v>
      </c>
      <c r="C7" s="29">
        <f>SUMPRODUCT(1/COUNTIF(transactions_jan2024!B2:B51,transactions_jan2024!B2:B51))</f>
        <v>21.999999999999989</v>
      </c>
      <c r="D7" s="30" t="s">
        <v>178</v>
      </c>
    </row>
    <row r="8" spans="1:4" ht="54.75" customHeight="1" x14ac:dyDescent="0.2">
      <c r="A8" s="31" t="s">
        <v>179</v>
      </c>
      <c r="B8" s="32">
        <f>COUNTIFS(transactions_jan2024!G2:G51,"Web",transactions_jan2024!F2:F51,"Failed")</f>
        <v>5</v>
      </c>
      <c r="C8" s="33" t="s">
        <v>180</v>
      </c>
      <c r="D8" s="34" t="s">
        <v>181</v>
      </c>
    </row>
    <row r="9" spans="1:4" ht="54.75" customHeight="1" x14ac:dyDescent="0.2">
      <c r="A9" s="27" t="s">
        <v>182</v>
      </c>
      <c r="B9" s="28" t="s">
        <v>183</v>
      </c>
      <c r="C9" s="29" t="s">
        <v>184</v>
      </c>
      <c r="D9" s="30" t="s">
        <v>185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transactions_jan2024</vt:lpstr>
      <vt:lpstr>data_profile</vt:lpstr>
      <vt:lpstr>analyst_summary</vt:lpstr>
      <vt:lpstr>quick_stats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Kensimon Ezike</cp:lastModifiedBy>
  <cp:revision>0</cp:revision>
  <dcterms:created xsi:type="dcterms:W3CDTF">2026-05-06T23:11:36Z</dcterms:created>
  <dcterms:modified xsi:type="dcterms:W3CDTF">2026-05-13T21:48:27Z</dcterms:modified>
  <dc:language>en-US</dc:language>
</cp:coreProperties>
</file>