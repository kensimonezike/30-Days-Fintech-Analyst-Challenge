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kensimon/Downloads/"/>
    </mc:Choice>
  </mc:AlternateContent>
  <xr:revisionPtr revIDLastSave="0" documentId="8_{BC63C137-C404-EF40-8FB7-39764006366A}" xr6:coauthVersionLast="47" xr6:coauthVersionMax="47" xr10:uidLastSave="{00000000-0000-0000-0000-000000000000}"/>
  <bookViews>
    <workbookView xWindow="0" yWindow="660" windowWidth="30240" windowHeight="18980" tabRatio="500" activeTab="1" xr2:uid="{00000000-000D-0000-FFFF-FFFF00000000}"/>
  </bookViews>
  <sheets>
    <sheet name="cleaned_data" sheetId="1" r:id="rId1"/>
    <sheet name="pivot_analysis" sheetId="5" r:id="rId2"/>
    <sheet name="insights" sheetId="6" r:id="rId3"/>
  </sheets>
  <definedNames>
    <definedName name="Slicer_channel">#N/A</definedName>
  </definedNames>
  <calcPr calcId="191029" iterateDelta="1E-4"/>
  <pivotCaches>
    <pivotCache cacheId="3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53" i="1" l="1"/>
  <c r="L53" i="1"/>
  <c r="K53" i="1"/>
  <c r="J53" i="1"/>
  <c r="I53" i="1"/>
  <c r="M52" i="1"/>
  <c r="L52" i="1"/>
  <c r="K52" i="1"/>
  <c r="J52" i="1"/>
  <c r="I52" i="1"/>
  <c r="M51" i="1"/>
  <c r="L51" i="1"/>
  <c r="K51" i="1"/>
  <c r="J51" i="1"/>
  <c r="I51" i="1"/>
  <c r="M50" i="1"/>
  <c r="L50" i="1"/>
  <c r="K50" i="1"/>
  <c r="J50" i="1"/>
  <c r="I50" i="1"/>
  <c r="M49" i="1"/>
  <c r="L49" i="1"/>
  <c r="K49" i="1"/>
  <c r="J49" i="1"/>
  <c r="I49" i="1"/>
  <c r="M48" i="1"/>
  <c r="L48" i="1"/>
  <c r="K48" i="1"/>
  <c r="J48" i="1"/>
  <c r="I48" i="1"/>
  <c r="M47" i="1"/>
  <c r="L47" i="1"/>
  <c r="K47" i="1"/>
  <c r="J47" i="1"/>
  <c r="I47" i="1"/>
  <c r="M46" i="1"/>
  <c r="L46" i="1"/>
  <c r="K46" i="1"/>
  <c r="J46" i="1"/>
  <c r="I46" i="1"/>
  <c r="M45" i="1"/>
  <c r="L45" i="1"/>
  <c r="K45" i="1"/>
  <c r="J45" i="1"/>
  <c r="I45" i="1"/>
  <c r="M44" i="1"/>
  <c r="L44" i="1"/>
  <c r="K44" i="1"/>
  <c r="J44" i="1"/>
  <c r="I44" i="1"/>
  <c r="M43" i="1"/>
  <c r="L43" i="1"/>
  <c r="K43" i="1"/>
  <c r="J43" i="1"/>
  <c r="I43" i="1"/>
  <c r="M42" i="1"/>
  <c r="L42" i="1"/>
  <c r="K42" i="1"/>
  <c r="J42" i="1"/>
  <c r="I42" i="1"/>
  <c r="M41" i="1"/>
  <c r="L41" i="1"/>
  <c r="K41" i="1"/>
  <c r="J41" i="1"/>
  <c r="I41" i="1"/>
  <c r="M40" i="1"/>
  <c r="L40" i="1"/>
  <c r="K40" i="1"/>
  <c r="J40" i="1"/>
  <c r="I40" i="1"/>
  <c r="M39" i="1"/>
  <c r="L39" i="1"/>
  <c r="K39" i="1"/>
  <c r="J39" i="1"/>
  <c r="I39" i="1"/>
  <c r="M38" i="1"/>
  <c r="L38" i="1"/>
  <c r="K38" i="1"/>
  <c r="J38" i="1"/>
  <c r="I38" i="1"/>
  <c r="M37" i="1"/>
  <c r="L37" i="1"/>
  <c r="K37" i="1"/>
  <c r="J37" i="1"/>
  <c r="I37" i="1"/>
  <c r="M36" i="1"/>
  <c r="L36" i="1"/>
  <c r="K36" i="1"/>
  <c r="J36" i="1"/>
  <c r="I36" i="1"/>
  <c r="M35" i="1"/>
  <c r="L35" i="1"/>
  <c r="K35" i="1"/>
  <c r="J35" i="1"/>
  <c r="I35" i="1"/>
  <c r="M34" i="1"/>
  <c r="L34" i="1"/>
  <c r="K34" i="1"/>
  <c r="J34" i="1"/>
  <c r="I34" i="1"/>
  <c r="M33" i="1"/>
  <c r="L33" i="1"/>
  <c r="K33" i="1"/>
  <c r="J33" i="1"/>
  <c r="I33" i="1"/>
  <c r="M32" i="1"/>
  <c r="L32" i="1"/>
  <c r="K32" i="1"/>
  <c r="J32" i="1"/>
  <c r="I32" i="1"/>
  <c r="M31" i="1"/>
  <c r="L31" i="1"/>
  <c r="K31" i="1"/>
  <c r="J31" i="1"/>
  <c r="I31" i="1"/>
  <c r="M30" i="1"/>
  <c r="L30" i="1"/>
  <c r="K30" i="1"/>
  <c r="J30" i="1"/>
  <c r="I30" i="1"/>
  <c r="M29" i="1"/>
  <c r="L29" i="1"/>
  <c r="K29" i="1"/>
  <c r="J29" i="1"/>
  <c r="I29" i="1"/>
  <c r="M28" i="1"/>
  <c r="L28" i="1"/>
  <c r="K28" i="1"/>
  <c r="J28" i="1"/>
  <c r="I28" i="1"/>
  <c r="M27" i="1"/>
  <c r="L27" i="1"/>
  <c r="K27" i="1"/>
  <c r="J27" i="1"/>
  <c r="I27" i="1"/>
  <c r="M26" i="1"/>
  <c r="L26" i="1"/>
  <c r="K26" i="1"/>
  <c r="J26" i="1"/>
  <c r="I26" i="1"/>
  <c r="M25" i="1"/>
  <c r="L25" i="1"/>
  <c r="K25" i="1"/>
  <c r="J25" i="1"/>
  <c r="I25" i="1"/>
  <c r="M24" i="1"/>
  <c r="L24" i="1"/>
  <c r="K24" i="1"/>
  <c r="J24" i="1"/>
  <c r="I24" i="1"/>
  <c r="M23" i="1"/>
  <c r="L23" i="1"/>
  <c r="K23" i="1"/>
  <c r="J23" i="1"/>
  <c r="I23" i="1"/>
  <c r="M22" i="1"/>
  <c r="L22" i="1"/>
  <c r="K22" i="1"/>
  <c r="J22" i="1"/>
  <c r="I22" i="1"/>
  <c r="M21" i="1"/>
  <c r="L21" i="1"/>
  <c r="K21" i="1"/>
  <c r="J21" i="1"/>
  <c r="I21" i="1"/>
  <c r="M20" i="1"/>
  <c r="L20" i="1"/>
  <c r="K20" i="1"/>
  <c r="J20" i="1"/>
  <c r="I20" i="1"/>
  <c r="M19" i="1"/>
  <c r="L19" i="1"/>
  <c r="K19" i="1"/>
  <c r="J19" i="1"/>
  <c r="I19" i="1"/>
  <c r="M18" i="1"/>
  <c r="L18" i="1"/>
  <c r="K18" i="1"/>
  <c r="J18" i="1"/>
  <c r="I18" i="1"/>
  <c r="M17" i="1"/>
  <c r="L17" i="1"/>
  <c r="K17" i="1"/>
  <c r="J17" i="1"/>
  <c r="I17" i="1"/>
  <c r="M16" i="1"/>
  <c r="L16" i="1"/>
  <c r="K16" i="1"/>
  <c r="J16" i="1"/>
  <c r="I16" i="1"/>
  <c r="M15" i="1"/>
  <c r="L15" i="1"/>
  <c r="K15" i="1"/>
  <c r="J15" i="1"/>
  <c r="I15" i="1"/>
  <c r="M14" i="1"/>
  <c r="L14" i="1"/>
  <c r="K14" i="1"/>
  <c r="J14" i="1"/>
  <c r="I14" i="1"/>
  <c r="M13" i="1"/>
  <c r="L13" i="1"/>
  <c r="K13" i="1"/>
  <c r="J13" i="1"/>
  <c r="I13" i="1"/>
  <c r="M12" i="1"/>
  <c r="L12" i="1"/>
  <c r="K12" i="1"/>
  <c r="J12" i="1"/>
  <c r="I12" i="1"/>
  <c r="M11" i="1"/>
  <c r="L11" i="1"/>
  <c r="K11" i="1"/>
  <c r="J11" i="1"/>
  <c r="I11" i="1"/>
  <c r="M10" i="1"/>
  <c r="L10" i="1"/>
  <c r="K10" i="1"/>
  <c r="J10" i="1"/>
  <c r="I10" i="1"/>
  <c r="M9" i="1"/>
  <c r="L9" i="1"/>
  <c r="K9" i="1"/>
  <c r="J9" i="1"/>
  <c r="I9" i="1"/>
  <c r="M8" i="1"/>
  <c r="L8" i="1"/>
  <c r="K8" i="1"/>
  <c r="J8" i="1"/>
  <c r="I8" i="1"/>
  <c r="M7" i="1"/>
  <c r="L7" i="1"/>
  <c r="K7" i="1"/>
  <c r="J7" i="1"/>
  <c r="I7" i="1"/>
  <c r="M6" i="1"/>
  <c r="L6" i="1"/>
  <c r="K6" i="1"/>
  <c r="J6" i="1"/>
  <c r="I6" i="1"/>
  <c r="M5" i="1"/>
  <c r="L5" i="1"/>
  <c r="K5" i="1"/>
  <c r="J5" i="1"/>
  <c r="I5" i="1"/>
  <c r="M4" i="1"/>
  <c r="L4" i="1"/>
  <c r="K4" i="1"/>
  <c r="J4" i="1"/>
  <c r="I4" i="1"/>
</calcChain>
</file>

<file path=xl/sharedStrings.xml><?xml version="1.0" encoding="utf-8"?>
<sst xmlns="http://schemas.openxmlformats.org/spreadsheetml/2006/main" count="350" uniqueCount="125">
  <si>
    <t>transaction_id</t>
  </si>
  <si>
    <t>user_id</t>
  </si>
  <si>
    <t>transaction_date</t>
  </si>
  <si>
    <t>transaction_type</t>
  </si>
  <si>
    <t>amount_ngn</t>
  </si>
  <si>
    <t>status</t>
  </si>
  <si>
    <t>channel</t>
  </si>
  <si>
    <t>region</t>
  </si>
  <si>
    <t>TXN-0001</t>
  </si>
  <si>
    <t>USR-3615</t>
  </si>
  <si>
    <t>Transfer</t>
  </si>
  <si>
    <t>Failed</t>
  </si>
  <si>
    <t>Web</t>
  </si>
  <si>
    <t>Lagos</t>
  </si>
  <si>
    <t>TXN-0002</t>
  </si>
  <si>
    <t>USR-1106</t>
  </si>
  <si>
    <t>Deposit</t>
  </si>
  <si>
    <t>Success</t>
  </si>
  <si>
    <t>Ibadan</t>
  </si>
  <si>
    <t>TXN-0003</t>
  </si>
  <si>
    <t>USR-2679</t>
  </si>
  <si>
    <t>Pending</t>
  </si>
  <si>
    <t>USSD</t>
  </si>
  <si>
    <t>TXN-0004</t>
  </si>
  <si>
    <t>USR-2535</t>
  </si>
  <si>
    <t>Withdrawal</t>
  </si>
  <si>
    <t>TXN-0005</t>
  </si>
  <si>
    <t>USR-7873</t>
  </si>
  <si>
    <t>Airtime</t>
  </si>
  <si>
    <t>TXN-0006</t>
  </si>
  <si>
    <t>USR-6574</t>
  </si>
  <si>
    <t>success</t>
  </si>
  <si>
    <t>App</t>
  </si>
  <si>
    <t>Abuja</t>
  </si>
  <si>
    <t>TXN-0007</t>
  </si>
  <si>
    <t>USR-4527</t>
  </si>
  <si>
    <t>Agent</t>
  </si>
  <si>
    <t>USR-2424</t>
  </si>
  <si>
    <t>Kano</t>
  </si>
  <si>
    <t>TXN-0009</t>
  </si>
  <si>
    <t>USR-9935</t>
  </si>
  <si>
    <t>TXN-0010</t>
  </si>
  <si>
    <t>USR-7924</t>
  </si>
  <si>
    <t>TXN-0011</t>
  </si>
  <si>
    <t>USR-5552</t>
  </si>
  <si>
    <t>TXN-0012</t>
  </si>
  <si>
    <t>USR-7912</t>
  </si>
  <si>
    <t>TXN-0013</t>
  </si>
  <si>
    <t>Bill Payment</t>
  </si>
  <si>
    <t>SUCCESS</t>
  </si>
  <si>
    <t>TXN-0014</t>
  </si>
  <si>
    <t>TXN-0015</t>
  </si>
  <si>
    <t>TXN-0016</t>
  </si>
  <si>
    <t>USR-8359</t>
  </si>
  <si>
    <t>TXN-0017</t>
  </si>
  <si>
    <t>TXN-0018</t>
  </si>
  <si>
    <t>TXN-0019</t>
  </si>
  <si>
    <t>USR-5506</t>
  </si>
  <si>
    <t>TXN-0020</t>
  </si>
  <si>
    <t>TXN-0021</t>
  </si>
  <si>
    <t>Port Harcourt</t>
  </si>
  <si>
    <t>TXN-0023</t>
  </si>
  <si>
    <t>TXN-0024</t>
  </si>
  <si>
    <t>USR-4811</t>
  </si>
  <si>
    <t>TXN-0025</t>
  </si>
  <si>
    <t>USR-3286</t>
  </si>
  <si>
    <t>failed</t>
  </si>
  <si>
    <t>TXN-0026</t>
  </si>
  <si>
    <t>TXN-0027</t>
  </si>
  <si>
    <t>TXN-0028</t>
  </si>
  <si>
    <t>USR-1409</t>
  </si>
  <si>
    <t>TXN-0029</t>
  </si>
  <si>
    <t>TXN-0030</t>
  </si>
  <si>
    <t>TXN-0031</t>
  </si>
  <si>
    <t>TXN-0032</t>
  </si>
  <si>
    <t>USR-4257</t>
  </si>
  <si>
    <t>TXN-0033</t>
  </si>
  <si>
    <t>TXN-0034</t>
  </si>
  <si>
    <t>USR-3547</t>
  </si>
  <si>
    <t>TXN-0035</t>
  </si>
  <si>
    <t>TXN-0036</t>
  </si>
  <si>
    <t>TXN-0037</t>
  </si>
  <si>
    <t>TXN-0038</t>
  </si>
  <si>
    <t>TXN-0039</t>
  </si>
  <si>
    <t>PENDING</t>
  </si>
  <si>
    <t>TXN-0040</t>
  </si>
  <si>
    <t>TXN-0041</t>
  </si>
  <si>
    <t>TXN-0042</t>
  </si>
  <si>
    <t>TXN-0043</t>
  </si>
  <si>
    <t>USR-1520</t>
  </si>
  <si>
    <t>TXN-0044</t>
  </si>
  <si>
    <t>USR-5012</t>
  </si>
  <si>
    <t>TXN-0045</t>
  </si>
  <si>
    <t>TXN-0046</t>
  </si>
  <si>
    <t>TXN-0047</t>
  </si>
  <si>
    <t>USR-4582</t>
  </si>
  <si>
    <t>TXN-0048</t>
  </si>
  <si>
    <t>TXN-0049</t>
  </si>
  <si>
    <t>TXN-0050</t>
  </si>
  <si>
    <t>Date</t>
  </si>
  <si>
    <t>status_clean</t>
  </si>
  <si>
    <t>amount_clean</t>
  </si>
  <si>
    <t>date_clean</t>
  </si>
  <si>
    <t>region_clean</t>
  </si>
  <si>
    <t>Grand Total</t>
  </si>
  <si>
    <t>Column Labels</t>
  </si>
  <si>
    <t>Count of transaction_id</t>
  </si>
  <si>
    <t>Unknown</t>
  </si>
  <si>
    <t>Sum of amount_clean</t>
  </si>
  <si>
    <t>PalmPay Analytics. January 2024  |  CLEANED DATA  |  Day 2 Solution</t>
  </si>
  <si>
    <t>← ORIGINAL DATA (columns A–H) — DO NOT EDIT</t>
  </si>
  <si>
    <t>flag_duplicate_id</t>
  </si>
  <si>
    <t>Failed %</t>
  </si>
  <si>
    <t>Pending %</t>
  </si>
  <si>
    <t>Success %</t>
  </si>
  <si>
    <t>PalmPay Analytics. January 2024  |  PIVOT ANALYSIS  |  Day 2 Solution</t>
  </si>
  <si>
    <t>Channel</t>
  </si>
  <si>
    <t>PIVOT 1. Transaction Success Rate by Channel</t>
  </si>
  <si>
    <t xml:space="preserve">PIVOT 2. Total Transaction Volume by Region and Type </t>
  </si>
  <si>
    <t>CLEAN HELPER COLUMNS</t>
  </si>
  <si>
    <t>Region</t>
  </si>
  <si>
    <t xml:space="preserve">PIVOT 3.  Daily Transaction Trend </t>
  </si>
  <si>
    <t>FINDING:  Web had the highest failure rate at 31.2% (5 of 16 transactions failed), compared to the overall failure rate of 18.0%.</t>
  </si>
  <si>
    <t>FINDING:  Lagos generated the highest total volume at ₦2,253,090 (33.0% of all volume). Within Lagos, Transfer was the dominant transaction type at ₦872,680.</t>
  </si>
  <si>
    <t>Business question: How did transaction activity change across January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</si>
</sst>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m\-yyyy"/>
  </numFmts>
  <fonts count="17" x14ac:knownFonts="1">
    <font>
      <sz val="11"/>
      <color theme="1"/>
      <name val="Calibri"/>
      <family val="2"/>
      <charset val="1"/>
    </font>
    <font>
      <b/>
      <sz val="12"/>
      <color rgb="FFFFFFFF"/>
      <name val="Arial"/>
      <family val="2"/>
    </font>
    <font>
      <sz val="12"/>
      <color rgb="FF006100"/>
      <name val="Calibri"/>
      <family val="2"/>
      <scheme val="minor"/>
    </font>
    <font>
      <sz val="12"/>
      <color rgb="FF9C5700"/>
      <name val="Calibri"/>
      <family val="2"/>
      <scheme val="minor"/>
    </font>
    <font>
      <sz val="12"/>
      <color theme="0"/>
      <name val="Calibri"/>
      <family val="2"/>
      <scheme val="minor"/>
    </font>
    <font>
      <b/>
      <sz val="9"/>
      <color rgb="FFFFFFFF"/>
      <name val="Arial"/>
      <family val="2"/>
    </font>
    <font>
      <b/>
      <sz val="10"/>
      <color rgb="FFFFFFFF"/>
      <name val="Arial"/>
      <family val="2"/>
    </font>
    <font>
      <sz val="9.5"/>
      <name val="Arial"/>
      <family val="2"/>
    </font>
    <font>
      <sz val="9.5"/>
      <color rgb="FF375623"/>
      <name val="Arial"/>
      <family val="2"/>
    </font>
    <font>
      <sz val="9.5"/>
      <color rgb="FF1E4620"/>
      <name val="Arial"/>
      <family val="2"/>
    </font>
    <font>
      <sz val="9.5"/>
      <color rgb="FF000000"/>
      <name val="Arial"/>
      <family val="2"/>
    </font>
    <font>
      <b/>
      <sz val="9.5"/>
      <color rgb="FFC00000"/>
      <name val="Arial"/>
      <family val="2"/>
    </font>
    <font>
      <b/>
      <sz val="9.5"/>
      <color rgb="FFC55A11"/>
      <name val="Arial"/>
      <family val="2"/>
    </font>
    <font>
      <b/>
      <sz val="12"/>
      <color theme="0"/>
      <name val="Arial"/>
      <family val="2"/>
    </font>
    <font>
      <b/>
      <sz val="9.5"/>
      <color rgb="FF1E4620"/>
      <name val="Arial"/>
      <family val="2"/>
    </font>
    <font>
      <b/>
      <sz val="9.5"/>
      <color rgb="FF1F4E79"/>
      <name val="Arial"/>
      <family val="2"/>
    </font>
    <font>
      <i/>
      <sz val="10"/>
      <color theme="3"/>
      <name val="Calibri"/>
      <family val="2"/>
    </font>
  </fonts>
  <fills count="16">
    <fill>
      <patternFill patternType="none"/>
    </fill>
    <fill>
      <patternFill patternType="gray125"/>
    </fill>
    <fill>
      <patternFill patternType="solid">
        <fgColor rgb="FFC6EFCE"/>
      </patternFill>
    </fill>
    <fill>
      <patternFill patternType="solid">
        <fgColor rgb="FFFFEB9C"/>
      </patternFill>
    </fill>
    <fill>
      <patternFill patternType="solid">
        <fgColor theme="5"/>
      </patternFill>
    </fill>
    <fill>
      <patternFill patternType="solid">
        <fgColor theme="7"/>
      </patternFill>
    </fill>
    <fill>
      <patternFill patternType="solid">
        <fgColor rgb="FF1F4E79"/>
        <bgColor rgb="FF1F6B75"/>
      </patternFill>
    </fill>
    <fill>
      <patternFill patternType="solid">
        <fgColor rgb="FF2E75B6"/>
        <bgColor rgb="FF1F6B75"/>
      </patternFill>
    </fill>
    <fill>
      <patternFill patternType="solid">
        <fgColor rgb="FF375623"/>
        <bgColor rgb="FF1E4620"/>
      </patternFill>
    </fill>
    <fill>
      <patternFill patternType="solid">
        <fgColor rgb="FFD6E4F0"/>
        <bgColor rgb="FFD9EEF0"/>
      </patternFill>
    </fill>
    <fill>
      <patternFill patternType="solid">
        <fgColor rgb="FFE2EFDA"/>
        <bgColor rgb="FFD9EEF0"/>
      </patternFill>
    </fill>
    <fill>
      <patternFill patternType="solid">
        <fgColor rgb="FFFFFFFF"/>
        <bgColor rgb="FFF5F5F5"/>
      </patternFill>
    </fill>
    <fill>
      <patternFill patternType="solid">
        <fgColor rgb="FFFFE699"/>
        <bgColor rgb="FFFFF2CC"/>
      </patternFill>
    </fill>
    <fill>
      <patternFill patternType="solid">
        <fgColor rgb="FFFFF2CC"/>
        <bgColor rgb="FFFFFACD"/>
      </patternFill>
    </fill>
    <fill>
      <patternFill patternType="solid">
        <fgColor rgb="FFFFE8E8"/>
        <bgColor rgb="FFFFF2CC"/>
      </patternFill>
    </fill>
    <fill>
      <patternFill patternType="solid">
        <fgColor theme="3"/>
        <bgColor indexed="64"/>
      </patternFill>
    </fill>
  </fills>
  <borders count="3">
    <border>
      <left/>
      <right/>
      <top/>
      <bottom/>
      <diagonal/>
    </border>
    <border>
      <left style="thin">
        <color rgb="FFBDD7EE"/>
      </left>
      <right style="thin">
        <color rgb="FFBDD7EE"/>
      </right>
      <top style="thin">
        <color rgb="FFBDD7EE"/>
      </top>
      <bottom style="thin">
        <color rgb="FFBDD7EE"/>
      </bottom>
      <diagonal/>
    </border>
    <border>
      <left style="thin">
        <color rgb="FFBDD7EE"/>
      </left>
      <right/>
      <top style="thin">
        <color rgb="FFBDD7EE"/>
      </top>
      <bottom style="thin">
        <color rgb="FFBDD7EE"/>
      </bottom>
      <diagonal/>
    </border>
  </borders>
  <cellStyleXfs count="1">
    <xf numFmtId="0" fontId="0" fillId="0" borderId="0"/>
  </cellStyleXfs>
  <cellXfs count="52">
    <xf numFmtId="0" fontId="0" fillId="0" borderId="0" xfId="0"/>
    <xf numFmtId="0" fontId="0" fillId="0" borderId="0" xfId="0" pivotButton="1"/>
    <xf numFmtId="0" fontId="0" fillId="0" borderId="0" xfId="0" applyAlignment="1">
      <alignment horizontal="left"/>
    </xf>
    <xf numFmtId="10" fontId="0" fillId="0" borderId="0" xfId="0" applyNumberFormat="1"/>
    <xf numFmtId="0" fontId="1"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6" fillId="6" borderId="1" xfId="0" applyFont="1" applyFill="1" applyBorder="1" applyAlignment="1">
      <alignment horizontal="center" vertical="center"/>
    </xf>
    <xf numFmtId="0" fontId="6" fillId="8" borderId="1" xfId="0" applyFont="1" applyFill="1" applyBorder="1" applyAlignment="1">
      <alignment horizontal="center" vertical="center"/>
    </xf>
    <xf numFmtId="0" fontId="7" fillId="9" borderId="1" xfId="0" applyFont="1" applyFill="1" applyBorder="1" applyAlignment="1">
      <alignment horizontal="center" vertical="center"/>
    </xf>
    <xf numFmtId="0" fontId="7" fillId="9" borderId="1" xfId="0" applyFont="1" applyFill="1" applyBorder="1" applyAlignment="1">
      <alignment horizontal="left" vertical="center"/>
    </xf>
    <xf numFmtId="164" fontId="7" fillId="9" borderId="1" xfId="0" applyNumberFormat="1" applyFont="1" applyFill="1" applyBorder="1" applyAlignment="1">
      <alignment horizontal="left" vertical="center"/>
    </xf>
    <xf numFmtId="3" fontId="7" fillId="9" borderId="1" xfId="0" applyNumberFormat="1" applyFont="1" applyFill="1" applyBorder="1" applyAlignment="1">
      <alignment horizontal="left" vertical="center"/>
    </xf>
    <xf numFmtId="0" fontId="8" fillId="10" borderId="1" xfId="0" applyFont="1" applyFill="1" applyBorder="1" applyAlignment="1">
      <alignment horizontal="center" vertical="center"/>
    </xf>
    <xf numFmtId="0" fontId="9" fillId="10" borderId="1" xfId="0" applyFont="1" applyFill="1" applyBorder="1" applyAlignment="1">
      <alignment horizontal="left" vertical="center"/>
    </xf>
    <xf numFmtId="3" fontId="10" fillId="10" borderId="1" xfId="0" applyNumberFormat="1" applyFont="1" applyFill="1" applyBorder="1" applyAlignment="1">
      <alignment horizontal="right" vertical="center"/>
    </xf>
    <xf numFmtId="164" fontId="10" fillId="10" borderId="1" xfId="0" applyNumberFormat="1" applyFont="1" applyFill="1" applyBorder="1" applyAlignment="1">
      <alignment horizontal="center" vertical="center"/>
    </xf>
    <xf numFmtId="0" fontId="10" fillId="10" borderId="1" xfId="0" applyFont="1" applyFill="1" applyBorder="1" applyAlignment="1">
      <alignment horizontal="left" vertical="center"/>
    </xf>
    <xf numFmtId="0" fontId="7" fillId="11" borderId="1" xfId="0" applyFont="1" applyFill="1" applyBorder="1" applyAlignment="1">
      <alignment horizontal="center" vertical="center"/>
    </xf>
    <xf numFmtId="0" fontId="7" fillId="11" borderId="1" xfId="0" applyFont="1" applyFill="1" applyBorder="1" applyAlignment="1">
      <alignment horizontal="left" vertical="center"/>
    </xf>
    <xf numFmtId="164" fontId="7" fillId="11" borderId="1" xfId="0" applyNumberFormat="1" applyFont="1" applyFill="1" applyBorder="1" applyAlignment="1">
      <alignment horizontal="left" vertical="center"/>
    </xf>
    <xf numFmtId="3" fontId="7" fillId="11" borderId="1" xfId="0" applyNumberFormat="1" applyFont="1" applyFill="1" applyBorder="1" applyAlignment="1">
      <alignment horizontal="left" vertical="center"/>
    </xf>
    <xf numFmtId="0" fontId="9" fillId="11" borderId="1" xfId="0" applyFont="1" applyFill="1" applyBorder="1" applyAlignment="1">
      <alignment horizontal="left" vertical="center"/>
    </xf>
    <xf numFmtId="3" fontId="10" fillId="11" borderId="1" xfId="0" applyNumberFormat="1" applyFont="1" applyFill="1" applyBorder="1" applyAlignment="1">
      <alignment horizontal="right" vertical="center"/>
    </xf>
    <xf numFmtId="164" fontId="10" fillId="11" borderId="1" xfId="0" applyNumberFormat="1" applyFont="1" applyFill="1" applyBorder="1" applyAlignment="1">
      <alignment horizontal="center" vertical="center"/>
    </xf>
    <xf numFmtId="0" fontId="10" fillId="11" borderId="1" xfId="0" applyFont="1" applyFill="1" applyBorder="1" applyAlignment="1">
      <alignment horizontal="left" vertical="center"/>
    </xf>
    <xf numFmtId="0" fontId="7" fillId="12" borderId="1" xfId="0" applyFont="1" applyFill="1" applyBorder="1" applyAlignment="1">
      <alignment horizontal="center" vertical="center"/>
    </xf>
    <xf numFmtId="0" fontId="11" fillId="12" borderId="1" xfId="0" applyFont="1" applyFill="1" applyBorder="1" applyAlignment="1">
      <alignment horizontal="center" vertical="center"/>
    </xf>
    <xf numFmtId="0" fontId="12" fillId="13" borderId="1" xfId="0" applyFont="1" applyFill="1" applyBorder="1" applyAlignment="1">
      <alignment horizontal="left" vertical="center"/>
    </xf>
    <xf numFmtId="0" fontId="7" fillId="12" borderId="1" xfId="0" applyFont="1" applyFill="1" applyBorder="1" applyAlignment="1">
      <alignment horizontal="left" vertical="center"/>
    </xf>
    <xf numFmtId="3" fontId="7" fillId="14" borderId="1" xfId="0" applyNumberFormat="1" applyFont="1" applyFill="1" applyBorder="1" applyAlignment="1">
      <alignment horizontal="left" vertical="center"/>
    </xf>
    <xf numFmtId="3" fontId="12" fillId="13" borderId="1" xfId="0" applyNumberFormat="1" applyFont="1" applyFill="1" applyBorder="1" applyAlignment="1">
      <alignment horizontal="right" vertical="center"/>
    </xf>
    <xf numFmtId="164" fontId="7" fillId="14" borderId="1" xfId="0" applyNumberFormat="1" applyFont="1" applyFill="1" applyBorder="1" applyAlignment="1">
      <alignment horizontal="left" vertical="center"/>
    </xf>
    <xf numFmtId="164" fontId="12" fillId="13" borderId="1" xfId="0" applyNumberFormat="1" applyFont="1" applyFill="1" applyBorder="1" applyAlignment="1">
      <alignment horizontal="center" vertical="center"/>
    </xf>
    <xf numFmtId="3" fontId="0" fillId="0" borderId="0" xfId="0" applyNumberFormat="1"/>
    <xf numFmtId="0" fontId="0" fillId="0" borderId="0" xfId="0" applyNumberFormat="1"/>
    <xf numFmtId="0" fontId="4" fillId="5" borderId="0" xfId="0" applyFont="1" applyFill="1" applyAlignment="1">
      <alignment horizontal="left"/>
    </xf>
    <xf numFmtId="10" fontId="4" fillId="5" borderId="0" xfId="0" applyNumberFormat="1" applyFont="1" applyFill="1"/>
    <xf numFmtId="0" fontId="4" fillId="5" borderId="0" xfId="0" applyFont="1" applyFill="1"/>
    <xf numFmtId="0" fontId="4" fillId="4" borderId="0" xfId="0" applyFont="1" applyFill="1"/>
    <xf numFmtId="0" fontId="3" fillId="3" borderId="0" xfId="0" applyFont="1" applyFill="1"/>
    <xf numFmtId="0" fontId="2" fillId="2" borderId="0" xfId="0" applyFont="1" applyFill="1"/>
    <xf numFmtId="0" fontId="13" fillId="15" borderId="0" xfId="0" applyFont="1" applyFill="1" applyAlignment="1"/>
    <xf numFmtId="3" fontId="4" fillId="5" borderId="0" xfId="0" applyNumberFormat="1" applyFont="1" applyFill="1"/>
    <xf numFmtId="0" fontId="0" fillId="0" borderId="0" xfId="0" applyNumberFormat="1" applyFont="1" applyFill="1" applyBorder="1" applyAlignment="1" applyProtection="1"/>
    <xf numFmtId="3" fontId="2" fillId="2" borderId="0" xfId="0" applyNumberFormat="1" applyFont="1" applyFill="1"/>
    <xf numFmtId="164" fontId="0" fillId="0" borderId="0" xfId="0" applyNumberFormat="1" applyAlignment="1">
      <alignment horizontal="left"/>
    </xf>
    <xf numFmtId="164" fontId="4" fillId="5" borderId="0" xfId="0" applyNumberFormat="1" applyFont="1" applyFill="1" applyAlignment="1">
      <alignment horizontal="left"/>
    </xf>
    <xf numFmtId="0" fontId="4" fillId="5" borderId="0" xfId="0" applyNumberFormat="1" applyFont="1" applyFill="1"/>
    <xf numFmtId="0" fontId="14" fillId="10" borderId="2" xfId="0" applyFont="1" applyFill="1" applyBorder="1" applyAlignment="1">
      <alignment horizontal="left" vertical="center" wrapText="1" indent="2"/>
    </xf>
    <xf numFmtId="0" fontId="15" fillId="9" borderId="2" xfId="0" applyFont="1" applyFill="1" applyBorder="1" applyAlignment="1">
      <alignment horizontal="left" vertical="center" wrapText="1" indent="2"/>
    </xf>
    <xf numFmtId="0" fontId="16" fillId="0" borderId="0" xfId="0" applyFont="1" applyFill="1"/>
  </cellXfs>
  <cellStyles count="1">
    <cellStyle name="Normal" xfId="0" builtinId="0"/>
  </cellStyles>
  <dxfs count="24">
    <dxf>
      <font>
        <b val="0"/>
        <i val="0"/>
        <strike val="0"/>
        <condense val="0"/>
        <extend val="0"/>
        <outline val="0"/>
        <shadow val="0"/>
        <u val="none"/>
        <vertAlign val="baseline"/>
        <sz val="12"/>
        <color theme="0"/>
        <name val="Calibri"/>
        <family val="2"/>
        <scheme val="minor"/>
      </font>
      <fill>
        <patternFill patternType="solid">
          <fgColor indexed="65"/>
          <bgColor theme="7"/>
        </patternFill>
      </fill>
    </dxf>
    <dxf>
      <font>
        <b val="0"/>
        <i val="0"/>
        <strike val="0"/>
        <condense val="0"/>
        <extend val="0"/>
        <outline val="0"/>
        <shadow val="0"/>
        <u val="none"/>
        <vertAlign val="baseline"/>
        <sz val="12"/>
        <color theme="0"/>
        <name val="Calibri"/>
        <family val="2"/>
        <scheme val="minor"/>
      </font>
      <fill>
        <patternFill patternType="solid">
          <fgColor indexed="65"/>
          <bgColor theme="7"/>
        </patternFill>
      </fill>
    </dxf>
    <dxf>
      <font>
        <b val="0"/>
        <i val="0"/>
        <strike val="0"/>
        <condense val="0"/>
        <extend val="0"/>
        <outline val="0"/>
        <shadow val="0"/>
        <u val="none"/>
        <vertAlign val="baseline"/>
        <sz val="12"/>
        <color theme="0"/>
        <name val="Calibri"/>
        <family val="2"/>
        <scheme val="minor"/>
      </font>
      <fill>
        <patternFill patternType="solid">
          <fgColor indexed="65"/>
          <bgColor theme="7"/>
        </patternFill>
      </fill>
    </dxf>
    <dxf>
      <font>
        <b val="0"/>
        <i val="0"/>
        <strike val="0"/>
        <condense val="0"/>
        <extend val="0"/>
        <outline val="0"/>
        <shadow val="0"/>
        <u val="none"/>
        <vertAlign val="baseline"/>
        <sz val="12"/>
        <color theme="0"/>
        <name val="Calibri"/>
        <family val="2"/>
        <scheme val="minor"/>
      </font>
      <fill>
        <patternFill patternType="solid">
          <fgColor indexed="65"/>
          <bgColor theme="7"/>
        </patternFill>
      </fill>
    </dxf>
    <dxf>
      <font>
        <b val="0"/>
        <i val="0"/>
        <strike val="0"/>
        <condense val="0"/>
        <extend val="0"/>
        <outline val="0"/>
        <shadow val="0"/>
        <u val="none"/>
        <vertAlign val="baseline"/>
        <sz val="12"/>
        <color theme="0"/>
        <name val="Calibri"/>
        <family val="2"/>
        <scheme val="minor"/>
      </font>
      <fill>
        <patternFill patternType="solid">
          <fgColor indexed="65"/>
          <bgColor theme="7"/>
        </patternFill>
      </fill>
    </dxf>
    <dxf>
      <font>
        <b val="0"/>
        <i val="0"/>
        <strike val="0"/>
        <condense val="0"/>
        <extend val="0"/>
        <outline val="0"/>
        <shadow val="0"/>
        <u val="none"/>
        <vertAlign val="baseline"/>
        <sz val="12"/>
        <color theme="0"/>
        <name val="Calibri"/>
        <family val="2"/>
        <scheme val="minor"/>
      </font>
      <fill>
        <patternFill patternType="solid">
          <fgColor indexed="65"/>
          <bgColor theme="7"/>
        </patternFill>
      </fill>
    </dxf>
    <dxf>
      <font>
        <b val="0"/>
        <i val="0"/>
        <strike val="0"/>
        <condense val="0"/>
        <extend val="0"/>
        <outline val="0"/>
        <shadow val="0"/>
        <u val="none"/>
        <vertAlign val="baseline"/>
        <sz val="12"/>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2"/>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2"/>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2"/>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2"/>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family val="2"/>
        <charset val="1"/>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0"/>
        <name val="Calibri"/>
        <family val="2"/>
        <scheme val="minor"/>
      </font>
      <fill>
        <patternFill patternType="solid">
          <fgColor indexed="65"/>
          <bgColor theme="7"/>
        </patternFill>
      </fill>
    </dxf>
    <dxf>
      <font>
        <b val="0"/>
        <i val="0"/>
        <strike val="0"/>
        <condense val="0"/>
        <extend val="0"/>
        <outline val="0"/>
        <shadow val="0"/>
        <u val="none"/>
        <vertAlign val="baseline"/>
        <sz val="12"/>
        <color theme="0"/>
        <name val="Calibri"/>
        <family val="2"/>
        <scheme val="minor"/>
      </font>
      <fill>
        <patternFill patternType="solid">
          <fgColor indexed="65"/>
          <bgColor theme="7"/>
        </patternFill>
      </fill>
    </dxf>
    <dxf>
      <font>
        <b val="0"/>
        <i val="0"/>
        <strike val="0"/>
        <condense val="0"/>
        <extend val="0"/>
        <outline val="0"/>
        <shadow val="0"/>
        <u val="none"/>
        <vertAlign val="baseline"/>
        <sz val="12"/>
        <color theme="0"/>
        <name val="Calibri"/>
        <family val="2"/>
        <scheme val="minor"/>
      </font>
      <fill>
        <patternFill patternType="solid">
          <fgColor indexed="65"/>
          <bgColor theme="7"/>
        </patternFill>
      </fill>
    </dxf>
    <dxf>
      <font>
        <b val="0"/>
        <i val="0"/>
        <strike val="0"/>
        <condense val="0"/>
        <extend val="0"/>
        <outline val="0"/>
        <shadow val="0"/>
        <u val="none"/>
        <vertAlign val="baseline"/>
        <sz val="12"/>
        <color theme="0"/>
        <name val="Calibri"/>
        <family val="2"/>
        <scheme val="minor"/>
      </font>
      <fill>
        <patternFill patternType="solid">
          <fgColor indexed="65"/>
          <bgColor theme="7"/>
        </patternFill>
      </fill>
    </dxf>
    <dxf>
      <font>
        <b val="0"/>
        <i val="0"/>
        <strike val="0"/>
        <condense val="0"/>
        <extend val="0"/>
        <outline val="0"/>
        <shadow val="0"/>
        <u val="none"/>
        <vertAlign val="baseline"/>
        <sz val="12"/>
        <color theme="0"/>
        <name val="Calibri"/>
        <family val="2"/>
        <scheme val="minor"/>
      </font>
      <fill>
        <patternFill patternType="solid">
          <fgColor indexed="65"/>
          <bgColor theme="7"/>
        </patternFill>
      </fill>
    </dxf>
    <dxf>
      <font>
        <b val="0"/>
        <i val="0"/>
        <strike val="0"/>
        <condense val="0"/>
        <extend val="0"/>
        <outline val="0"/>
        <shadow val="0"/>
        <u val="none"/>
        <vertAlign val="baseline"/>
        <sz val="12"/>
        <color theme="0"/>
        <name val="Calibri"/>
        <family val="2"/>
        <scheme val="minor"/>
      </font>
      <fill>
        <patternFill patternType="solid">
          <fgColor indexed="65"/>
          <bgColor theme="7"/>
        </patternFill>
      </fill>
    </dxf>
    <dxf>
      <font>
        <b val="0"/>
        <i val="0"/>
        <strike val="0"/>
        <condense val="0"/>
        <extend val="0"/>
        <outline val="0"/>
        <shadow val="0"/>
        <u val="none"/>
        <vertAlign val="baseline"/>
        <sz val="12"/>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2"/>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2"/>
        <color theme="0"/>
        <name val="Calibri"/>
        <family val="2"/>
        <scheme val="minor"/>
      </font>
      <fill>
        <patternFill patternType="solid">
          <fgColor indexed="65"/>
          <bgColor theme="5"/>
        </patternFill>
      </fill>
    </dxf>
    <dxf>
      <font>
        <b val="0"/>
        <i val="0"/>
        <strike val="0"/>
        <condense val="0"/>
        <extend val="0"/>
        <outline val="0"/>
        <shadow val="0"/>
        <u val="none"/>
        <vertAlign val="baseline"/>
        <sz val="12"/>
        <color theme="0"/>
        <name val="Calibri"/>
        <family val="2"/>
        <scheme val="minor"/>
      </font>
      <fill>
        <patternFill patternType="solid">
          <fgColor indexed="65"/>
          <bgColor theme="7"/>
        </patternFill>
      </fill>
    </dxf>
    <dxf>
      <font>
        <b val="0"/>
        <i val="0"/>
        <strike val="0"/>
        <condense val="0"/>
        <extend val="0"/>
        <outline val="0"/>
        <shadow val="0"/>
        <u val="none"/>
        <vertAlign val="baseline"/>
        <sz val="12"/>
        <color theme="0"/>
        <name val="Calibri"/>
        <family val="2"/>
        <scheme val="minor"/>
      </font>
      <fill>
        <patternFill patternType="solid">
          <fgColor indexed="65"/>
          <bgColor theme="7"/>
        </patternFill>
      </fill>
    </dxf>
    <dxf>
      <font>
        <b val="0"/>
        <i val="0"/>
        <strike val="0"/>
        <condense val="0"/>
        <extend val="0"/>
        <outline val="0"/>
        <shadow val="0"/>
        <u val="none"/>
        <vertAlign val="baseline"/>
        <sz val="12"/>
        <color theme="0"/>
        <name val="Calibri"/>
        <family val="2"/>
        <scheme val="minor"/>
      </font>
      <fill>
        <patternFill patternType="solid">
          <fgColor indexed="65"/>
          <bgColor theme="7"/>
        </patternFill>
      </fill>
    </dxf>
  </dxfs>
  <tableStyles count="1" defaultTableStyle="TableStyleMedium2" defaultPivotStyle="PivotStyleLight16">
    <tableStyle name="PivotTable Style 1" table="0" count="0" xr9:uid="{64F06500-1591-3B4C-8F92-4A614407418A}"/>
  </table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9F9F9"/>
      <rgbColor rgb="FFEB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6E4F0"/>
      <rgbColor rgb="FFE2EFDA"/>
      <rgbColor rgb="FFFFE699"/>
      <rgbColor rgb="FF99CCFF"/>
      <rgbColor rgb="FFFF99CC"/>
      <rgbColor rgb="FFCC99FF"/>
      <rgbColor rgb="FFFFB3B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75623"/>
      <rgbColor rgb="00003366"/>
      <rgbColor rgb="00339966"/>
      <rgbColor rgb="00003300"/>
      <rgbColor rgb="00333300"/>
      <rgbColor rgb="00993300"/>
      <rgbColor rgb="00993366"/>
      <rgbColor rgb="00333399"/>
      <rgbColor rgb="00333333"/>
    </indexedColors>
    <mruColors>
      <color rgb="FF00CB00"/>
      <color rgb="FF006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[palmpay_cleaned.xlsx]pivot_analysis!PivotTable9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pivot_analysis!$B$36</c:f>
              <c:strCache>
                <c:ptCount val="1"/>
                <c:pt idx="0">
                  <c:v>Count of transaction_id</c:v>
                </c:pt>
              </c:strCache>
            </c:strRef>
          </c:tx>
          <c:spPr>
            <a:ln w="28575" cap="rnd">
              <a:solidFill>
                <a:schemeClr val="accent1"/>
              </a:solidFill>
              <a:round/>
            </a:ln>
            <a:effectLst/>
          </c:spPr>
          <c:marker>
            <c:symbol val="none"/>
          </c:marker>
          <c:cat>
            <c:strRef>
              <c:f>pivot_analysis!$A$37:$A$63</c:f>
              <c:strCache>
                <c:ptCount val="26"/>
                <c:pt idx="0">
                  <c:v>02-Jan-2024</c:v>
                </c:pt>
                <c:pt idx="1">
                  <c:v>03-Jan-2024</c:v>
                </c:pt>
                <c:pt idx="2">
                  <c:v>04-Jan-2024</c:v>
                </c:pt>
                <c:pt idx="3">
                  <c:v>05-Jan-2024</c:v>
                </c:pt>
                <c:pt idx="4">
                  <c:v>07-Jan-2024</c:v>
                </c:pt>
                <c:pt idx="5">
                  <c:v>08-Jan-2024</c:v>
                </c:pt>
                <c:pt idx="6">
                  <c:v>09-Jan-2024</c:v>
                </c:pt>
                <c:pt idx="7">
                  <c:v>10-Jan-2024</c:v>
                </c:pt>
                <c:pt idx="8">
                  <c:v>11-Jan-2024</c:v>
                </c:pt>
                <c:pt idx="9">
                  <c:v>13-Jan-2024</c:v>
                </c:pt>
                <c:pt idx="10">
                  <c:v>14-Jan-2024</c:v>
                </c:pt>
                <c:pt idx="11">
                  <c:v>15-Jan-2024</c:v>
                </c:pt>
                <c:pt idx="12">
                  <c:v>16-Jan-2024</c:v>
                </c:pt>
                <c:pt idx="13">
                  <c:v>17-Jan-2024</c:v>
                </c:pt>
                <c:pt idx="14">
                  <c:v>19-Jan-2024</c:v>
                </c:pt>
                <c:pt idx="15">
                  <c:v>20-Jan-2024</c:v>
                </c:pt>
                <c:pt idx="16">
                  <c:v>21-Jan-2024</c:v>
                </c:pt>
                <c:pt idx="17">
                  <c:v>22-Jan-2024</c:v>
                </c:pt>
                <c:pt idx="18">
                  <c:v>23-Jan-2024</c:v>
                </c:pt>
                <c:pt idx="19">
                  <c:v>24-Jan-2024</c:v>
                </c:pt>
                <c:pt idx="20">
                  <c:v>25-Jan-2024</c:v>
                </c:pt>
                <c:pt idx="21">
                  <c:v>26-Jan-2024</c:v>
                </c:pt>
                <c:pt idx="22">
                  <c:v>27-Jan-2024</c:v>
                </c:pt>
                <c:pt idx="23">
                  <c:v>29-Jan-2024</c:v>
                </c:pt>
                <c:pt idx="24">
                  <c:v>30-Jan-2024</c:v>
                </c:pt>
                <c:pt idx="25">
                  <c:v>31-Jan-2024</c:v>
                </c:pt>
              </c:strCache>
            </c:strRef>
          </c:cat>
          <c:val>
            <c:numRef>
              <c:f>pivot_analysis!$B$37:$B$63</c:f>
              <c:numCache>
                <c:formatCode>General</c:formatCode>
                <c:ptCount val="26"/>
                <c:pt idx="0">
                  <c:v>1</c:v>
                </c:pt>
                <c:pt idx="1">
                  <c:v>1</c:v>
                </c:pt>
                <c:pt idx="2">
                  <c:v>1</c:v>
                </c:pt>
                <c:pt idx="3">
                  <c:v>4</c:v>
                </c:pt>
                <c:pt idx="4">
                  <c:v>4</c:v>
                </c:pt>
                <c:pt idx="5">
                  <c:v>1</c:v>
                </c:pt>
                <c:pt idx="6">
                  <c:v>2</c:v>
                </c:pt>
                <c:pt idx="7">
                  <c:v>1</c:v>
                </c:pt>
                <c:pt idx="8">
                  <c:v>1</c:v>
                </c:pt>
                <c:pt idx="9">
                  <c:v>1</c:v>
                </c:pt>
                <c:pt idx="10">
                  <c:v>4</c:v>
                </c:pt>
                <c:pt idx="11">
                  <c:v>3</c:v>
                </c:pt>
                <c:pt idx="12">
                  <c:v>2</c:v>
                </c:pt>
                <c:pt idx="13">
                  <c:v>1</c:v>
                </c:pt>
                <c:pt idx="14">
                  <c:v>1</c:v>
                </c:pt>
                <c:pt idx="15">
                  <c:v>1</c:v>
                </c:pt>
                <c:pt idx="16">
                  <c:v>2</c:v>
                </c:pt>
                <c:pt idx="17">
                  <c:v>4</c:v>
                </c:pt>
                <c:pt idx="18">
                  <c:v>4</c:v>
                </c:pt>
                <c:pt idx="19">
                  <c:v>1</c:v>
                </c:pt>
                <c:pt idx="20">
                  <c:v>1</c:v>
                </c:pt>
                <c:pt idx="21">
                  <c:v>2</c:v>
                </c:pt>
                <c:pt idx="22">
                  <c:v>1</c:v>
                </c:pt>
                <c:pt idx="23">
                  <c:v>1</c:v>
                </c:pt>
                <c:pt idx="24">
                  <c:v>2</c:v>
                </c:pt>
                <c:pt idx="25">
                  <c:v>3</c:v>
                </c:pt>
              </c:numCache>
            </c:numRef>
          </c:val>
          <c:smooth val="0"/>
          <c:extLst>
            <c:ext xmlns:c16="http://schemas.microsoft.com/office/drawing/2014/chart" uri="{C3380CC4-5D6E-409C-BE32-E72D297353CC}">
              <c16:uniqueId val="{00000000-6131-3545-8736-BD952525A9F8}"/>
            </c:ext>
          </c:extLst>
        </c:ser>
        <c:ser>
          <c:idx val="1"/>
          <c:order val="1"/>
          <c:tx>
            <c:strRef>
              <c:f>pivot_analysis!$C$36</c:f>
              <c:strCache>
                <c:ptCount val="1"/>
                <c:pt idx="0">
                  <c:v>Sum of amount_clean</c:v>
                </c:pt>
              </c:strCache>
            </c:strRef>
          </c:tx>
          <c:spPr>
            <a:ln w="28575" cap="rnd">
              <a:solidFill>
                <a:schemeClr val="accent2"/>
              </a:solidFill>
              <a:round/>
            </a:ln>
            <a:effectLst/>
          </c:spPr>
          <c:marker>
            <c:symbol val="none"/>
          </c:marker>
          <c:cat>
            <c:strRef>
              <c:f>pivot_analysis!$A$37:$A$63</c:f>
              <c:strCache>
                <c:ptCount val="26"/>
                <c:pt idx="0">
                  <c:v>02-Jan-2024</c:v>
                </c:pt>
                <c:pt idx="1">
                  <c:v>03-Jan-2024</c:v>
                </c:pt>
                <c:pt idx="2">
                  <c:v>04-Jan-2024</c:v>
                </c:pt>
                <c:pt idx="3">
                  <c:v>05-Jan-2024</c:v>
                </c:pt>
                <c:pt idx="4">
                  <c:v>07-Jan-2024</c:v>
                </c:pt>
                <c:pt idx="5">
                  <c:v>08-Jan-2024</c:v>
                </c:pt>
                <c:pt idx="6">
                  <c:v>09-Jan-2024</c:v>
                </c:pt>
                <c:pt idx="7">
                  <c:v>10-Jan-2024</c:v>
                </c:pt>
                <c:pt idx="8">
                  <c:v>11-Jan-2024</c:v>
                </c:pt>
                <c:pt idx="9">
                  <c:v>13-Jan-2024</c:v>
                </c:pt>
                <c:pt idx="10">
                  <c:v>14-Jan-2024</c:v>
                </c:pt>
                <c:pt idx="11">
                  <c:v>15-Jan-2024</c:v>
                </c:pt>
                <c:pt idx="12">
                  <c:v>16-Jan-2024</c:v>
                </c:pt>
                <c:pt idx="13">
                  <c:v>17-Jan-2024</c:v>
                </c:pt>
                <c:pt idx="14">
                  <c:v>19-Jan-2024</c:v>
                </c:pt>
                <c:pt idx="15">
                  <c:v>20-Jan-2024</c:v>
                </c:pt>
                <c:pt idx="16">
                  <c:v>21-Jan-2024</c:v>
                </c:pt>
                <c:pt idx="17">
                  <c:v>22-Jan-2024</c:v>
                </c:pt>
                <c:pt idx="18">
                  <c:v>23-Jan-2024</c:v>
                </c:pt>
                <c:pt idx="19">
                  <c:v>24-Jan-2024</c:v>
                </c:pt>
                <c:pt idx="20">
                  <c:v>25-Jan-2024</c:v>
                </c:pt>
                <c:pt idx="21">
                  <c:v>26-Jan-2024</c:v>
                </c:pt>
                <c:pt idx="22">
                  <c:v>27-Jan-2024</c:v>
                </c:pt>
                <c:pt idx="23">
                  <c:v>29-Jan-2024</c:v>
                </c:pt>
                <c:pt idx="24">
                  <c:v>30-Jan-2024</c:v>
                </c:pt>
                <c:pt idx="25">
                  <c:v>31-Jan-2024</c:v>
                </c:pt>
              </c:strCache>
            </c:strRef>
          </c:cat>
          <c:val>
            <c:numRef>
              <c:f>pivot_analysis!$C$37:$C$63</c:f>
              <c:numCache>
                <c:formatCode>#,##0</c:formatCode>
                <c:ptCount val="26"/>
                <c:pt idx="0">
                  <c:v>10610</c:v>
                </c:pt>
                <c:pt idx="1">
                  <c:v>3070</c:v>
                </c:pt>
                <c:pt idx="2">
                  <c:v>4660</c:v>
                </c:pt>
                <c:pt idx="3">
                  <c:v>448020</c:v>
                </c:pt>
                <c:pt idx="4">
                  <c:v>45680</c:v>
                </c:pt>
                <c:pt idx="5">
                  <c:v>358440</c:v>
                </c:pt>
                <c:pt idx="6">
                  <c:v>401980</c:v>
                </c:pt>
                <c:pt idx="7">
                  <c:v>435740</c:v>
                </c:pt>
                <c:pt idx="8">
                  <c:v>29900</c:v>
                </c:pt>
                <c:pt idx="9">
                  <c:v>2960</c:v>
                </c:pt>
                <c:pt idx="10">
                  <c:v>449150</c:v>
                </c:pt>
                <c:pt idx="11">
                  <c:v>568460</c:v>
                </c:pt>
                <c:pt idx="12">
                  <c:v>755890</c:v>
                </c:pt>
                <c:pt idx="13">
                  <c:v>402160</c:v>
                </c:pt>
                <c:pt idx="14">
                  <c:v>4620</c:v>
                </c:pt>
                <c:pt idx="15">
                  <c:v>112860</c:v>
                </c:pt>
                <c:pt idx="16">
                  <c:v>28930</c:v>
                </c:pt>
                <c:pt idx="17">
                  <c:v>953180</c:v>
                </c:pt>
                <c:pt idx="18">
                  <c:v>577160</c:v>
                </c:pt>
                <c:pt idx="19">
                  <c:v>261090</c:v>
                </c:pt>
                <c:pt idx="20">
                  <c:v>7100</c:v>
                </c:pt>
                <c:pt idx="21">
                  <c:v>395980</c:v>
                </c:pt>
                <c:pt idx="22">
                  <c:v>1710</c:v>
                </c:pt>
                <c:pt idx="23">
                  <c:v>1960</c:v>
                </c:pt>
                <c:pt idx="24">
                  <c:v>459460</c:v>
                </c:pt>
                <c:pt idx="25">
                  <c:v>113950</c:v>
                </c:pt>
              </c:numCache>
            </c:numRef>
          </c:val>
          <c:smooth val="0"/>
          <c:extLst>
            <c:ext xmlns:c16="http://schemas.microsoft.com/office/drawing/2014/chart" uri="{C3380CC4-5D6E-409C-BE32-E72D297353CC}">
              <c16:uniqueId val="{00000001-6131-3545-8736-BD952525A9F8}"/>
            </c:ext>
          </c:extLst>
        </c:ser>
        <c:dLbls>
          <c:showLegendKey val="0"/>
          <c:showVal val="0"/>
          <c:showCatName val="0"/>
          <c:showSerName val="0"/>
          <c:showPercent val="0"/>
          <c:showBubbleSize val="0"/>
        </c:dLbls>
        <c:smooth val="0"/>
        <c:axId val="371836672"/>
        <c:axId val="371850112"/>
      </c:lineChart>
      <c:catAx>
        <c:axId val="37183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1850112"/>
        <c:crosses val="autoZero"/>
        <c:auto val="1"/>
        <c:lblAlgn val="ctr"/>
        <c:lblOffset val="100"/>
        <c:noMultiLvlLbl val="0"/>
      </c:catAx>
      <c:valAx>
        <c:axId val="37185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183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284480</xdr:colOff>
      <xdr:row>3</xdr:row>
      <xdr:rowOff>137161</xdr:rowOff>
    </xdr:from>
    <xdr:to>
      <xdr:col>7</xdr:col>
      <xdr:colOff>548640</xdr:colOff>
      <xdr:row>10</xdr:row>
      <xdr:rowOff>172720</xdr:rowOff>
    </xdr:to>
    <mc:AlternateContent xmlns:mc="http://schemas.openxmlformats.org/markup-compatibility/2006">
      <mc:Choice xmlns:a14="http://schemas.microsoft.com/office/drawing/2010/main" Requires="a14">
        <xdr:graphicFrame macro="">
          <xdr:nvGraphicFramePr>
            <xdr:cNvPr id="5" name="channel">
              <a:extLst>
                <a:ext uri="{FF2B5EF4-FFF2-40B4-BE49-F238E27FC236}">
                  <a16:creationId xmlns:a16="http://schemas.microsoft.com/office/drawing/2014/main" id="{947BF36E-A7ED-F26A-D6F6-9A68909FE61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5695784" y="735349"/>
              <a:ext cx="1828653" cy="13975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332671</xdr:colOff>
      <xdr:row>35</xdr:row>
      <xdr:rowOff>5169</xdr:rowOff>
    </xdr:from>
    <xdr:to>
      <xdr:col>8</xdr:col>
      <xdr:colOff>0</xdr:colOff>
      <xdr:row>63</xdr:row>
      <xdr:rowOff>33716</xdr:rowOff>
    </xdr:to>
    <xdr:graphicFrame macro="">
      <xdr:nvGraphicFramePr>
        <xdr:cNvPr id="6" name="Chart 5">
          <a:extLst>
            <a:ext uri="{FF2B5EF4-FFF2-40B4-BE49-F238E27FC236}">
              <a16:creationId xmlns:a16="http://schemas.microsoft.com/office/drawing/2014/main" id="{86B98747-74FB-771A-248F-F055570F3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simon Ezike" refreshedDate="46156.519559490742" createdVersion="8" refreshedVersion="8" minRefreshableVersion="3" recordCount="50" xr:uid="{BB396594-BF47-014F-8EAB-87AABFD4D1C6}">
  <cacheSource type="worksheet">
    <worksheetSource ref="A3:M53" sheet="cleaned_data"/>
  </cacheSource>
  <cacheFields count="13">
    <cacheField name="transaction_id" numFmtId="0">
      <sharedItems/>
    </cacheField>
    <cacheField name="user_id" numFmtId="0">
      <sharedItems/>
    </cacheField>
    <cacheField name="transaction_date" numFmtId="164">
      <sharedItems containsSemiMixedTypes="0" containsNonDate="0" containsDate="1" containsString="0" minDate="2004-01-17T00:00:00" maxDate="2024-02-01T00:00:00"/>
    </cacheField>
    <cacheField name="transaction_type" numFmtId="0">
      <sharedItems count="5">
        <s v="Transfer"/>
        <s v="Deposit"/>
        <s v="Withdrawal"/>
        <s v="Airtime"/>
        <s v="Bill Payment"/>
      </sharedItems>
    </cacheField>
    <cacheField name="amount_ngn" numFmtId="3">
      <sharedItems containsSemiMixedTypes="0" containsString="0" containsNumber="1" containsInteger="1" minValue="-439240" maxValue="473150"/>
    </cacheField>
    <cacheField name="status" numFmtId="0">
      <sharedItems/>
    </cacheField>
    <cacheField name="channel" numFmtId="0">
      <sharedItems count="4">
        <s v="Web"/>
        <s v="USSD"/>
        <s v="App"/>
        <s v="Agent"/>
      </sharedItems>
    </cacheField>
    <cacheField name="region" numFmtId="0">
      <sharedItems containsBlank="1" count="6">
        <s v="Lagos"/>
        <s v="Ibadan"/>
        <m/>
        <s v="Abuja"/>
        <s v="Kano"/>
        <s v="Port Harcourt"/>
      </sharedItems>
    </cacheField>
    <cacheField name="flag_duplicate_id" numFmtId="0">
      <sharedItems/>
    </cacheField>
    <cacheField name="status_clean" numFmtId="0">
      <sharedItems count="3">
        <s v="Failed"/>
        <s v="Success"/>
        <s v="Pending"/>
      </sharedItems>
    </cacheField>
    <cacheField name="amount_clean" numFmtId="3">
      <sharedItems containsSemiMixedTypes="0" containsString="0" containsNumber="1" containsInteger="1" minValue="0" maxValue="473150"/>
    </cacheField>
    <cacheField name="date_clean" numFmtId="164">
      <sharedItems containsSemiMixedTypes="0" containsNonDate="0" containsDate="1" containsString="0" minDate="2024-01-02T00:00:00" maxDate="2024-02-01T00:00:00" count="26">
        <d v="2024-01-11T00:00:00"/>
        <d v="2024-01-15T00:00:00"/>
        <d v="2024-01-23T00:00:00"/>
        <d v="2024-01-09T00:00:00"/>
        <d v="2024-01-21T00:00:00"/>
        <d v="2024-01-25T00:00:00"/>
        <d v="2024-01-31T00:00:00"/>
        <d v="2024-01-05T00:00:00"/>
        <d v="2024-01-22T00:00:00"/>
        <d v="2024-01-14T00:00:00"/>
        <d v="2024-01-04T00:00:00"/>
        <d v="2024-01-30T00:00:00"/>
        <d v="2024-01-02T00:00:00"/>
        <d v="2024-01-16T00:00:00"/>
        <d v="2024-01-17T00:00:00"/>
        <d v="2024-01-08T00:00:00"/>
        <d v="2024-01-24T00:00:00"/>
        <d v="2024-01-07T00:00:00"/>
        <d v="2024-01-26T00:00:00"/>
        <d v="2024-01-10T00:00:00"/>
        <d v="2024-01-19T00:00:00"/>
        <d v="2024-01-20T00:00:00"/>
        <d v="2024-01-13T00:00:00"/>
        <d v="2024-01-27T00:00:00"/>
        <d v="2024-01-29T00:00:00"/>
        <d v="2024-01-03T00:00:00"/>
      </sharedItems>
    </cacheField>
    <cacheField name="region_clean" numFmtId="0">
      <sharedItems count="6">
        <s v="Lagos"/>
        <s v="Ibadan"/>
        <s v="Unknown"/>
        <s v="Abuja"/>
        <s v="Kano"/>
        <s v="Port Harcourt"/>
      </sharedItems>
    </cacheField>
  </cacheFields>
  <extLst>
    <ext xmlns:x14="http://schemas.microsoft.com/office/spreadsheetml/2009/9/main" uri="{725AE2AE-9491-48be-B2B4-4EB974FC3084}">
      <x14:pivotCacheDefinition pivotCacheId="15477660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TXN-0001"/>
    <s v="USR-3615"/>
    <d v="2024-01-11T00:00:00"/>
    <x v="0"/>
    <n v="29900"/>
    <s v="Failed"/>
    <x v="0"/>
    <x v="0"/>
    <s v="OK"/>
    <x v="0"/>
    <n v="29900"/>
    <x v="0"/>
    <x v="0"/>
  </r>
  <r>
    <s v="TXN-0002"/>
    <s v="USR-1106"/>
    <d v="2024-01-15T00:00:00"/>
    <x v="1"/>
    <n v="91310"/>
    <s v="Success"/>
    <x v="0"/>
    <x v="1"/>
    <s v="OK"/>
    <x v="1"/>
    <n v="91310"/>
    <x v="1"/>
    <x v="1"/>
  </r>
  <r>
    <s v="TXN-0003"/>
    <s v="USR-2679"/>
    <d v="2024-01-23T00:00:00"/>
    <x v="0"/>
    <n v="48340"/>
    <s v="Pending"/>
    <x v="1"/>
    <x v="0"/>
    <s v="DUPLICATE"/>
    <x v="2"/>
    <n v="48340"/>
    <x v="2"/>
    <x v="0"/>
  </r>
  <r>
    <s v="TXN-0004"/>
    <s v="USR-2535"/>
    <d v="2024-01-09T00:00:00"/>
    <x v="2"/>
    <n v="15660"/>
    <s v="Success"/>
    <x v="0"/>
    <x v="0"/>
    <s v="OK"/>
    <x v="1"/>
    <n v="15660"/>
    <x v="3"/>
    <x v="0"/>
  </r>
  <r>
    <s v="TXN-0005"/>
    <s v="USR-7873"/>
    <d v="2024-01-21T00:00:00"/>
    <x v="3"/>
    <n v="21040"/>
    <s v="Success"/>
    <x v="1"/>
    <x v="2"/>
    <s v="OK"/>
    <x v="1"/>
    <n v="21040"/>
    <x v="4"/>
    <x v="2"/>
  </r>
  <r>
    <s v="TXN-0006"/>
    <s v="USR-6574"/>
    <d v="2024-01-25T00:00:00"/>
    <x v="0"/>
    <n v="7100"/>
    <s v="Success"/>
    <x v="2"/>
    <x v="3"/>
    <s v="OK"/>
    <x v="1"/>
    <n v="7100"/>
    <x v="5"/>
    <x v="3"/>
  </r>
  <r>
    <s v="TXN-0007"/>
    <s v="USR-4527"/>
    <d v="2024-01-31T00:00:00"/>
    <x v="1"/>
    <n v="18930"/>
    <s v="Success"/>
    <x v="3"/>
    <x v="3"/>
    <s v="OK"/>
    <x v="1"/>
    <n v="18930"/>
    <x v="6"/>
    <x v="3"/>
  </r>
  <r>
    <s v="TXN-0003"/>
    <s v="USR-2424"/>
    <d v="2024-01-05T00:00:00"/>
    <x v="3"/>
    <n v="441650"/>
    <s v="Success"/>
    <x v="3"/>
    <x v="4"/>
    <s v="DUPLICATE"/>
    <x v="1"/>
    <n v="441650"/>
    <x v="7"/>
    <x v="4"/>
  </r>
  <r>
    <s v="TXN-0009"/>
    <s v="USR-9935"/>
    <d v="2024-01-05T00:00:00"/>
    <x v="1"/>
    <n v="4540"/>
    <s v="Failed"/>
    <x v="1"/>
    <x v="3"/>
    <s v="OK"/>
    <x v="0"/>
    <n v="4540"/>
    <x v="7"/>
    <x v="3"/>
  </r>
  <r>
    <s v="TXN-0010"/>
    <s v="USR-7924"/>
    <d v="2024-01-22T00:00:00"/>
    <x v="2"/>
    <n v="-250080"/>
    <s v="Pending"/>
    <x v="0"/>
    <x v="1"/>
    <s v="OK"/>
    <x v="2"/>
    <n v="0"/>
    <x v="8"/>
    <x v="1"/>
  </r>
  <r>
    <s v="TXN-0011"/>
    <s v="USR-5552"/>
    <d v="2024-01-31T00:00:00"/>
    <x v="0"/>
    <n v="49680"/>
    <s v="Failed"/>
    <x v="0"/>
    <x v="0"/>
    <s v="OK"/>
    <x v="0"/>
    <n v="49680"/>
    <x v="6"/>
    <x v="0"/>
  </r>
  <r>
    <s v="TXN-0012"/>
    <s v="USR-7912"/>
    <d v="2024-01-14T00:00:00"/>
    <x v="3"/>
    <n v="428580"/>
    <s v="Success"/>
    <x v="1"/>
    <x v="2"/>
    <s v="OK"/>
    <x v="1"/>
    <n v="428580"/>
    <x v="9"/>
    <x v="2"/>
  </r>
  <r>
    <s v="TXN-0013"/>
    <s v="USR-4527"/>
    <d v="2024-01-04T00:00:00"/>
    <x v="4"/>
    <n v="4660"/>
    <s v="Success"/>
    <x v="1"/>
    <x v="1"/>
    <s v="OK"/>
    <x v="1"/>
    <n v="4660"/>
    <x v="10"/>
    <x v="1"/>
  </r>
  <r>
    <s v="TXN-0014"/>
    <s v="USR-3615"/>
    <d v="2024-01-30T00:00:00"/>
    <x v="1"/>
    <n v="44250"/>
    <s v="Success"/>
    <x v="0"/>
    <x v="4"/>
    <s v="OK"/>
    <x v="1"/>
    <n v="44250"/>
    <x v="11"/>
    <x v="4"/>
  </r>
  <r>
    <s v="TXN-0015"/>
    <s v="USR-9935"/>
    <d v="2024-01-02T00:00:00"/>
    <x v="3"/>
    <n v="10610"/>
    <s v="Failed"/>
    <x v="1"/>
    <x v="3"/>
    <s v="DUPLICATE"/>
    <x v="0"/>
    <n v="10610"/>
    <x v="12"/>
    <x v="3"/>
  </r>
  <r>
    <s v="TXN-0016"/>
    <s v="USR-8359"/>
    <d v="2024-01-16T00:00:00"/>
    <x v="1"/>
    <n v="326650"/>
    <s v="Success"/>
    <x v="1"/>
    <x v="1"/>
    <s v="OK"/>
    <x v="1"/>
    <n v="326650"/>
    <x v="13"/>
    <x v="1"/>
  </r>
  <r>
    <s v="TXN-0017"/>
    <s v="USR-3615"/>
    <d v="2004-01-17T00:00:00"/>
    <x v="3"/>
    <n v="402160"/>
    <s v="Success"/>
    <x v="3"/>
    <x v="0"/>
    <s v="OK"/>
    <x v="1"/>
    <n v="402160"/>
    <x v="14"/>
    <x v="0"/>
  </r>
  <r>
    <s v="TXN-0018"/>
    <s v="USR-9935"/>
    <d v="2024-01-08T00:00:00"/>
    <x v="0"/>
    <n v="358440"/>
    <s v="Success"/>
    <x v="1"/>
    <x v="0"/>
    <s v="OK"/>
    <x v="1"/>
    <n v="358440"/>
    <x v="15"/>
    <x v="0"/>
  </r>
  <r>
    <s v="TXN-0019"/>
    <s v="USR-5506"/>
    <d v="2024-01-23T00:00:00"/>
    <x v="0"/>
    <n v="9420"/>
    <s v="Success"/>
    <x v="1"/>
    <x v="4"/>
    <s v="OK"/>
    <x v="1"/>
    <n v="9420"/>
    <x v="2"/>
    <x v="4"/>
  </r>
  <r>
    <s v="TXN-0020"/>
    <s v="USR-8359"/>
    <d v="2024-01-16T00:00:00"/>
    <x v="3"/>
    <n v="429240"/>
    <s v="Success"/>
    <x v="1"/>
    <x v="2"/>
    <s v="OK"/>
    <x v="1"/>
    <n v="429240"/>
    <x v="13"/>
    <x v="2"/>
  </r>
  <r>
    <s v="TXN-0021"/>
    <s v="USR-7924"/>
    <d v="2024-01-14T00:00:00"/>
    <x v="3"/>
    <n v="11350"/>
    <s v="Success"/>
    <x v="3"/>
    <x v="5"/>
    <s v="OK"/>
    <x v="1"/>
    <n v="11350"/>
    <x v="9"/>
    <x v="5"/>
  </r>
  <r>
    <s v="TXN-0015"/>
    <s v="USR-5552"/>
    <d v="2024-01-24T00:00:00"/>
    <x v="0"/>
    <n v="261090"/>
    <s v="Success"/>
    <x v="2"/>
    <x v="3"/>
    <s v="DUPLICATE"/>
    <x v="1"/>
    <n v="261090"/>
    <x v="16"/>
    <x v="3"/>
  </r>
  <r>
    <s v="TXN-0023"/>
    <s v="USR-2679"/>
    <d v="2024-01-07T00:00:00"/>
    <x v="1"/>
    <n v="4180"/>
    <s v="Success"/>
    <x v="1"/>
    <x v="0"/>
    <s v="OK"/>
    <x v="1"/>
    <n v="4180"/>
    <x v="17"/>
    <x v="0"/>
  </r>
  <r>
    <s v="TXN-0024"/>
    <s v="USR-4811"/>
    <d v="2024-01-26T00:00:00"/>
    <x v="1"/>
    <n v="391910"/>
    <s v="Failed"/>
    <x v="2"/>
    <x v="3"/>
    <s v="OK"/>
    <x v="0"/>
    <n v="391910"/>
    <x v="18"/>
    <x v="3"/>
  </r>
  <r>
    <s v="TXN-0025"/>
    <s v="USR-3286"/>
    <d v="2024-01-14T00:00:00"/>
    <x v="2"/>
    <n v="4440"/>
    <s v="Failed"/>
    <x v="2"/>
    <x v="5"/>
    <s v="OK"/>
    <x v="0"/>
    <n v="4440"/>
    <x v="9"/>
    <x v="5"/>
  </r>
  <r>
    <s v="TXN-0026"/>
    <s v="USR-2424"/>
    <d v="2024-01-30T00:00:00"/>
    <x v="2"/>
    <n v="415210"/>
    <s v="Pending"/>
    <x v="3"/>
    <x v="3"/>
    <s v="OK"/>
    <x v="2"/>
    <n v="415210"/>
    <x v="11"/>
    <x v="3"/>
  </r>
  <r>
    <s v="TXN-0027"/>
    <s v="USR-2679"/>
    <d v="2024-01-10T00:00:00"/>
    <x v="3"/>
    <n v="435740"/>
    <s v="Success"/>
    <x v="0"/>
    <x v="0"/>
    <s v="OK"/>
    <x v="1"/>
    <n v="435740"/>
    <x v="19"/>
    <x v="0"/>
  </r>
  <r>
    <s v="TXN-0028"/>
    <s v="USR-1409"/>
    <d v="2024-01-19T00:00:00"/>
    <x v="2"/>
    <n v="4620"/>
    <s v="Pending"/>
    <x v="2"/>
    <x v="3"/>
    <s v="OK"/>
    <x v="2"/>
    <n v="4620"/>
    <x v="20"/>
    <x v="3"/>
  </r>
  <r>
    <s v="TXN-0029"/>
    <s v="USR-5506"/>
    <d v="2024-01-20T00:00:00"/>
    <x v="0"/>
    <n v="112860"/>
    <s v="Success"/>
    <x v="2"/>
    <x v="2"/>
    <s v="OK"/>
    <x v="1"/>
    <n v="112860"/>
    <x v="21"/>
    <x v="2"/>
  </r>
  <r>
    <s v="TXN-0030"/>
    <s v="USR-5506"/>
    <d v="2024-01-14T00:00:00"/>
    <x v="1"/>
    <n v="4780"/>
    <s v="Success"/>
    <x v="0"/>
    <x v="3"/>
    <s v="OK"/>
    <x v="1"/>
    <n v="4780"/>
    <x v="9"/>
    <x v="3"/>
  </r>
  <r>
    <s v="TXN-0031"/>
    <s v="USR-2424"/>
    <d v="2024-01-13T00:00:00"/>
    <x v="3"/>
    <n v="2960"/>
    <s v="Success"/>
    <x v="2"/>
    <x v="0"/>
    <s v="OK"/>
    <x v="1"/>
    <n v="2960"/>
    <x v="22"/>
    <x v="0"/>
  </r>
  <r>
    <s v="TXN-0032"/>
    <s v="USR-4257"/>
    <d v="2024-01-07T00:00:00"/>
    <x v="1"/>
    <n v="2670"/>
    <s v="Failed"/>
    <x v="0"/>
    <x v="4"/>
    <s v="OK"/>
    <x v="0"/>
    <n v="2670"/>
    <x v="17"/>
    <x v="4"/>
  </r>
  <r>
    <s v="TXN-0033"/>
    <s v="USR-3286"/>
    <d v="2024-01-15T00:00:00"/>
    <x v="1"/>
    <n v="473150"/>
    <s v="Success"/>
    <x v="0"/>
    <x v="0"/>
    <s v="OK"/>
    <x v="1"/>
    <n v="473150"/>
    <x v="1"/>
    <x v="0"/>
  </r>
  <r>
    <s v="TXN-0034"/>
    <s v="USR-3547"/>
    <d v="2024-01-05T00:00:00"/>
    <x v="4"/>
    <n v="-439240"/>
    <s v="Success"/>
    <x v="0"/>
    <x v="1"/>
    <s v="OK"/>
    <x v="1"/>
    <n v="0"/>
    <x v="7"/>
    <x v="1"/>
  </r>
  <r>
    <s v="TXN-0035"/>
    <s v="USR-2679"/>
    <d v="2024-01-23T00:00:00"/>
    <x v="4"/>
    <n v="46560"/>
    <s v="Success"/>
    <x v="0"/>
    <x v="0"/>
    <s v="OK"/>
    <x v="1"/>
    <n v="46560"/>
    <x v="2"/>
    <x v="0"/>
  </r>
  <r>
    <s v="TXN-0036"/>
    <s v="USR-5506"/>
    <d v="2024-01-21T00:00:00"/>
    <x v="2"/>
    <n v="7890"/>
    <s v="Failed"/>
    <x v="0"/>
    <x v="3"/>
    <s v="OK"/>
    <x v="0"/>
    <n v="7890"/>
    <x v="4"/>
    <x v="3"/>
  </r>
  <r>
    <s v="TXN-0037"/>
    <s v="USR-1106"/>
    <d v="2024-01-15T00:00:00"/>
    <x v="1"/>
    <n v="4000"/>
    <s v="Success"/>
    <x v="1"/>
    <x v="2"/>
    <s v="OK"/>
    <x v="1"/>
    <n v="4000"/>
    <x v="1"/>
    <x v="2"/>
  </r>
  <r>
    <s v="TXN-0038"/>
    <s v="USR-1409"/>
    <d v="2024-01-27T00:00:00"/>
    <x v="4"/>
    <n v="1710"/>
    <s v="Success"/>
    <x v="2"/>
    <x v="4"/>
    <s v="OK"/>
    <x v="1"/>
    <n v="1710"/>
    <x v="23"/>
    <x v="4"/>
  </r>
  <r>
    <s v="TXN-0039"/>
    <s v="USR-2679"/>
    <d v="2024-01-22T00:00:00"/>
    <x v="3"/>
    <n v="459000"/>
    <s v="Pending"/>
    <x v="3"/>
    <x v="1"/>
    <s v="OK"/>
    <x v="2"/>
    <n v="459000"/>
    <x v="8"/>
    <x v="1"/>
  </r>
  <r>
    <s v="TXN-0040"/>
    <s v="USR-1106"/>
    <d v="2024-01-05T00:00:00"/>
    <x v="3"/>
    <n v="1830"/>
    <s v="Success"/>
    <x v="0"/>
    <x v="5"/>
    <s v="OK"/>
    <x v="1"/>
    <n v="1830"/>
    <x v="7"/>
    <x v="5"/>
  </r>
  <r>
    <s v="TXN-0041"/>
    <s v="USR-7924"/>
    <d v="2024-01-22T00:00:00"/>
    <x v="3"/>
    <n v="462810"/>
    <s v="Success"/>
    <x v="2"/>
    <x v="5"/>
    <s v="OK"/>
    <x v="1"/>
    <n v="462810"/>
    <x v="8"/>
    <x v="5"/>
  </r>
  <r>
    <s v="TXN-0042"/>
    <s v="USR-9935"/>
    <d v="2024-01-07T00:00:00"/>
    <x v="2"/>
    <n v="3360"/>
    <s v="Success"/>
    <x v="1"/>
    <x v="5"/>
    <s v="OK"/>
    <x v="1"/>
    <n v="3360"/>
    <x v="17"/>
    <x v="5"/>
  </r>
  <r>
    <s v="TXN-0043"/>
    <s v="USR-1520"/>
    <d v="2024-01-09T00:00:00"/>
    <x v="0"/>
    <n v="386320"/>
    <s v="Success"/>
    <x v="0"/>
    <x v="0"/>
    <s v="OK"/>
    <x v="1"/>
    <n v="386320"/>
    <x v="3"/>
    <x v="0"/>
  </r>
  <r>
    <s v="TXN-0044"/>
    <s v="USR-5012"/>
    <d v="2024-01-29T00:00:00"/>
    <x v="4"/>
    <n v="1960"/>
    <s v="Success"/>
    <x v="3"/>
    <x v="4"/>
    <s v="OK"/>
    <x v="1"/>
    <n v="1960"/>
    <x v="24"/>
    <x v="4"/>
  </r>
  <r>
    <s v="TXN-0045"/>
    <s v="USR-1106"/>
    <d v="2024-01-26T00:00:00"/>
    <x v="4"/>
    <n v="4070"/>
    <s v="Success"/>
    <x v="1"/>
    <x v="4"/>
    <s v="OK"/>
    <x v="1"/>
    <n v="4070"/>
    <x v="18"/>
    <x v="4"/>
  </r>
  <r>
    <s v="TXN-0046"/>
    <s v="USR-1409"/>
    <d v="2024-01-23T00:00:00"/>
    <x v="2"/>
    <n v="472840"/>
    <s v="Success"/>
    <x v="1"/>
    <x v="4"/>
    <s v="OK"/>
    <x v="1"/>
    <n v="472840"/>
    <x v="2"/>
    <x v="4"/>
  </r>
  <r>
    <s v="TXN-0047"/>
    <s v="USR-4582"/>
    <d v="2024-01-03T00:00:00"/>
    <x v="4"/>
    <n v="3070"/>
    <s v="Failed"/>
    <x v="0"/>
    <x v="1"/>
    <s v="OK"/>
    <x v="0"/>
    <n v="3070"/>
    <x v="25"/>
    <x v="1"/>
  </r>
  <r>
    <s v="TXN-0048"/>
    <s v="USR-7912"/>
    <d v="2024-01-22T00:00:00"/>
    <x v="2"/>
    <n v="31370"/>
    <s v="Success"/>
    <x v="1"/>
    <x v="5"/>
    <s v="OK"/>
    <x v="1"/>
    <n v="31370"/>
    <x v="8"/>
    <x v="5"/>
  </r>
  <r>
    <s v="TXN-0049"/>
    <s v="USR-8359"/>
    <d v="2024-01-31T00:00:00"/>
    <x v="2"/>
    <n v="45340"/>
    <s v="Success"/>
    <x v="2"/>
    <x v="4"/>
    <s v="OK"/>
    <x v="1"/>
    <n v="45340"/>
    <x v="6"/>
    <x v="4"/>
  </r>
  <r>
    <s v="TXN-0050"/>
    <s v="USR-7912"/>
    <d v="2024-01-07T00:00:00"/>
    <x v="2"/>
    <n v="35470"/>
    <s v="Success"/>
    <x v="3"/>
    <x v="3"/>
    <s v="OK"/>
    <x v="1"/>
    <n v="35470"/>
    <x v="1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A67C5E-AD77-E54B-ADFC-F9B01F3A2D5F}" name="PivotTable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ate">
  <location ref="A36:C63" firstHeaderRow="0" firstDataRow="1" firstDataCol="1"/>
  <pivotFields count="13">
    <pivotField dataField="1" showAll="0"/>
    <pivotField showAll="0"/>
    <pivotField numFmtId="164" showAll="0"/>
    <pivotField showAll="0"/>
    <pivotField numFmtId="3" showAll="0"/>
    <pivotField showAll="0"/>
    <pivotField showAll="0"/>
    <pivotField showAll="0"/>
    <pivotField showAll="0"/>
    <pivotField showAll="0"/>
    <pivotField dataField="1" numFmtId="3" showAll="0"/>
    <pivotField axis="axisRow" numFmtId="164" showAll="0">
      <items count="27">
        <item x="12"/>
        <item x="25"/>
        <item x="10"/>
        <item x="7"/>
        <item x="17"/>
        <item x="15"/>
        <item x="3"/>
        <item x="19"/>
        <item x="0"/>
        <item x="22"/>
        <item x="9"/>
        <item x="1"/>
        <item x="13"/>
        <item x="14"/>
        <item x="20"/>
        <item x="21"/>
        <item x="4"/>
        <item x="8"/>
        <item x="2"/>
        <item x="16"/>
        <item x="5"/>
        <item x="18"/>
        <item x="23"/>
        <item x="24"/>
        <item x="11"/>
        <item x="6"/>
        <item t="default"/>
      </items>
    </pivotField>
    <pivotField showAll="0"/>
  </pivotFields>
  <rowFields count="1">
    <field x="1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2">
    <i>
      <x/>
    </i>
    <i i="1">
      <x v="1"/>
    </i>
  </colItems>
  <dataFields count="2">
    <dataField name="Count of transaction_id" fld="0" subtotal="count" baseField="0" baseItem="0"/>
    <dataField name="Sum of amount_clean" fld="10" baseField="0" baseItem="0" numFmtId="3"/>
  </dataFields>
  <formats count="3">
    <format dxfId="5">
      <pivotArea dataOnly="0" grandRow="1" axis="axisRow" fieldPosition="0"/>
    </format>
    <format dxfId="4">
      <pivotArea field="11" type="button" dataOnly="0" labelOnly="1" outline="0" axis="axisRow" fieldPosition="0"/>
    </format>
    <format dxfId="3">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1A0020-4DCA-7F47-B039-1453922334EA}" name="PivotTable8"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19:G27" firstHeaderRow="1" firstDataRow="2" firstDataCol="1"/>
  <pivotFields count="13">
    <pivotField showAll="0"/>
    <pivotField showAll="0"/>
    <pivotField numFmtId="164" showAll="0"/>
    <pivotField axis="axisCol" showAll="0">
      <items count="6">
        <item x="3"/>
        <item x="4"/>
        <item x="1"/>
        <item x="0"/>
        <item x="2"/>
        <item t="default"/>
      </items>
    </pivotField>
    <pivotField numFmtId="3" showAll="0"/>
    <pivotField showAll="0"/>
    <pivotField showAll="0"/>
    <pivotField showAll="0"/>
    <pivotField showAll="0"/>
    <pivotField showAll="0"/>
    <pivotField dataField="1" numFmtId="3" showAll="0"/>
    <pivotField numFmtId="164" showAll="0"/>
    <pivotField axis="axisRow" showAll="0">
      <items count="7">
        <item x="3"/>
        <item x="1"/>
        <item x="4"/>
        <item x="0"/>
        <item x="5"/>
        <item x="2"/>
        <item t="default"/>
      </items>
    </pivotField>
  </pivotFields>
  <rowFields count="1">
    <field x="12"/>
  </rowFields>
  <rowItems count="7">
    <i>
      <x/>
    </i>
    <i>
      <x v="1"/>
    </i>
    <i>
      <x v="2"/>
    </i>
    <i>
      <x v="3"/>
    </i>
    <i>
      <x v="4"/>
    </i>
    <i>
      <x v="5"/>
    </i>
    <i t="grand">
      <x/>
    </i>
  </rowItems>
  <colFields count="1">
    <field x="3"/>
  </colFields>
  <colItems count="6">
    <i>
      <x/>
    </i>
    <i>
      <x v="1"/>
    </i>
    <i>
      <x v="2"/>
    </i>
    <i>
      <x v="3"/>
    </i>
    <i>
      <x v="4"/>
    </i>
    <i t="grand">
      <x/>
    </i>
  </colItems>
  <dataFields count="1">
    <dataField name="Sum of amount_clean" fld="10" baseField="0" baseItem="0" numFmtId="3"/>
  </dataFields>
  <formats count="11">
    <format dxfId="16">
      <pivotArea field="12" type="button" dataOnly="0" labelOnly="1" outline="0" axis="axisRow" fieldPosition="0"/>
    </format>
    <format dxfId="15">
      <pivotArea dataOnly="0" labelOnly="1" fieldPosition="0">
        <references count="1">
          <reference field="3" count="0"/>
        </references>
      </pivotArea>
    </format>
    <format dxfId="14">
      <pivotArea dataOnly="0" labelOnly="1" grandCol="1" outline="0" fieldPosition="0"/>
    </format>
    <format dxfId="13">
      <pivotArea grandRow="1" outline="0" collapsedLevelsAreSubtotals="1" fieldPosition="0"/>
    </format>
    <format dxfId="12">
      <pivotArea dataOnly="0" labelOnly="1" grandRow="1" outline="0" fieldPosition="0"/>
    </format>
    <format dxfId="11">
      <pivotArea collapsedLevelsAreSubtotals="1" fieldPosition="0">
        <references count="2">
          <reference field="3" count="1" selected="0">
            <x v="3"/>
          </reference>
          <reference field="12" count="1">
            <x v="0"/>
          </reference>
        </references>
      </pivotArea>
    </format>
    <format dxfId="10">
      <pivotArea collapsedLevelsAreSubtotals="1" fieldPosition="0">
        <references count="2">
          <reference field="3" count="1" selected="0">
            <x v="3"/>
          </reference>
          <reference field="12" count="1">
            <x v="3"/>
          </reference>
        </references>
      </pivotArea>
    </format>
    <format dxfId="9">
      <pivotArea collapsedLevelsAreSubtotals="1" fieldPosition="0">
        <references count="2">
          <reference field="3" count="1" selected="0">
            <x v="1"/>
          </reference>
          <reference field="12" count="1">
            <x v="3"/>
          </reference>
        </references>
      </pivotArea>
    </format>
    <format dxfId="8">
      <pivotArea collapsedLevelsAreSubtotals="1" fieldPosition="0">
        <references count="2">
          <reference field="3" count="1" selected="0">
            <x v="2"/>
          </reference>
          <reference field="12" count="1">
            <x v="3"/>
          </reference>
        </references>
      </pivotArea>
    </format>
    <format dxfId="7">
      <pivotArea collapsedLevelsAreSubtotals="1" fieldPosition="0">
        <references count="2">
          <reference field="3" count="1" selected="0">
            <x v="4"/>
          </reference>
          <reference field="12" count="1">
            <x v="2"/>
          </reference>
        </references>
      </pivotArea>
    </format>
    <format dxfId="6">
      <pivotArea field="12" grandCol="1" collapsedLevelsAreSubtotals="1" axis="axisRow" fieldPosition="0">
        <references count="1">
          <reference field="12"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4FEEDE-9E3E-E645-900E-EE7CBC980804}"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5:E11" firstHeaderRow="1" firstDataRow="2" firstDataCol="1"/>
  <pivotFields count="13">
    <pivotField dataField="1" showAll="0"/>
    <pivotField showAll="0"/>
    <pivotField numFmtId="164" showAll="0"/>
    <pivotField showAll="0"/>
    <pivotField numFmtId="3" showAll="0"/>
    <pivotField showAll="0"/>
    <pivotField axis="axisRow" showAll="0">
      <items count="5">
        <item x="3"/>
        <item x="2"/>
        <item x="1"/>
        <item x="0"/>
        <item t="default"/>
      </items>
    </pivotField>
    <pivotField showAll="0"/>
    <pivotField showAll="0"/>
    <pivotField axis="axisCol" showAll="0">
      <items count="4">
        <item n="Failed %" x="0"/>
        <item n="Pending %" x="2"/>
        <item n="Success %" x="1"/>
        <item t="default"/>
      </items>
    </pivotField>
    <pivotField numFmtId="3" showAll="0"/>
    <pivotField numFmtId="164" showAll="0"/>
    <pivotField showAll="0"/>
  </pivotFields>
  <rowFields count="1">
    <field x="6"/>
  </rowFields>
  <rowItems count="5">
    <i>
      <x/>
    </i>
    <i>
      <x v="1"/>
    </i>
    <i>
      <x v="2"/>
    </i>
    <i>
      <x v="3"/>
    </i>
    <i t="grand">
      <x/>
    </i>
  </rowItems>
  <colFields count="1">
    <field x="9"/>
  </colFields>
  <colItems count="4">
    <i>
      <x/>
    </i>
    <i>
      <x v="1"/>
    </i>
    <i>
      <x v="2"/>
    </i>
    <i t="grand">
      <x/>
    </i>
  </colItems>
  <dataFields count="1">
    <dataField name="Count of transaction_id" fld="0" subtotal="count" showDataAs="percentOfRow" baseField="0" baseItem="0" numFmtId="10"/>
  </dataFields>
  <formats count="7">
    <format dxfId="23">
      <pivotArea grandRow="1" outline="0" collapsedLevelsAreSubtotals="1" fieldPosition="0"/>
    </format>
    <format dxfId="22">
      <pivotArea dataOnly="0" labelOnly="1" grandRow="1" outline="0" fieldPosition="0"/>
    </format>
    <format dxfId="21">
      <pivotArea field="6" type="button" dataOnly="0" labelOnly="1" outline="0" axis="axisRow" fieldPosition="0"/>
    </format>
    <format dxfId="20">
      <pivotArea dataOnly="0" labelOnly="1" fieldPosition="0">
        <references count="1">
          <reference field="9" count="1">
            <x v="0"/>
          </reference>
        </references>
      </pivotArea>
    </format>
    <format dxfId="19">
      <pivotArea dataOnly="0" labelOnly="1" fieldPosition="0">
        <references count="1">
          <reference field="9" count="1">
            <x v="1"/>
          </reference>
        </references>
      </pivotArea>
    </format>
    <format dxfId="18">
      <pivotArea dataOnly="0" labelOnly="1" fieldPosition="0">
        <references count="1">
          <reference field="9" count="1">
            <x v="2"/>
          </reference>
        </references>
      </pivotArea>
    </format>
    <format dxfId="1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2EEDE5F-B6C1-8C45-9617-1BCD01657D1B}" sourceName="channel">
  <pivotTables>
    <pivotTable tabId="5" name="PivotTable6"/>
  </pivotTables>
  <data>
    <tabular pivotCacheId="1547766087">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4935DB0C-CFCF-984B-83DF-3FAD17D5AF86}" cache="Slicer_channel" caption="channel" rowHeight="230716"/>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5"/>
  <sheetViews>
    <sheetView zoomScaleNormal="100" workbookViewId="0">
      <pane ySplit="1" topLeftCell="A17" activePane="bottomLeft" state="frozen"/>
      <selection pane="bottomLeft" activeCell="K3" sqref="K3"/>
    </sheetView>
  </sheetViews>
  <sheetFormatPr baseColWidth="10" defaultColWidth="8.6640625" defaultRowHeight="15" x14ac:dyDescent="0.2"/>
  <cols>
    <col min="1" max="1" width="16" customWidth="1"/>
    <col min="2" max="2" width="13" customWidth="1"/>
    <col min="3" max="4" width="16" customWidth="1"/>
    <col min="5" max="5" width="14" customWidth="1"/>
    <col min="6" max="6" width="13" customWidth="1"/>
    <col min="7" max="7" width="10" customWidth="1"/>
    <col min="8" max="8" width="16" customWidth="1"/>
    <col min="9" max="9" width="18" customWidth="1"/>
    <col min="10" max="11" width="14" customWidth="1"/>
    <col min="12" max="13" width="16" customWidth="1"/>
  </cols>
  <sheetData>
    <row r="1" spans="1:13" ht="27.75" customHeight="1" x14ac:dyDescent="0.2">
      <c r="A1" s="4" t="s">
        <v>109</v>
      </c>
      <c r="B1" s="4"/>
      <c r="C1" s="4"/>
      <c r="D1" s="4"/>
      <c r="E1" s="4"/>
      <c r="F1" s="4"/>
      <c r="G1" s="4"/>
      <c r="H1" s="4"/>
      <c r="I1" s="4"/>
      <c r="J1" s="4"/>
      <c r="K1" s="4"/>
      <c r="L1" s="4"/>
      <c r="M1" s="4"/>
    </row>
    <row r="2" spans="1:13" ht="19.5" customHeight="1" x14ac:dyDescent="0.2">
      <c r="A2" s="5" t="s">
        <v>110</v>
      </c>
      <c r="B2" s="5"/>
      <c r="C2" s="5"/>
      <c r="D2" s="5"/>
      <c r="E2" s="5"/>
      <c r="F2" s="5"/>
      <c r="G2" s="5"/>
      <c r="H2" s="5"/>
      <c r="I2" s="6" t="s">
        <v>119</v>
      </c>
      <c r="J2" s="6"/>
      <c r="K2" s="6"/>
      <c r="L2" s="6"/>
      <c r="M2" s="6"/>
    </row>
    <row r="3" spans="1:13" ht="21.75" customHeight="1" x14ac:dyDescent="0.2">
      <c r="A3" s="7" t="s">
        <v>0</v>
      </c>
      <c r="B3" s="7" t="s">
        <v>1</v>
      </c>
      <c r="C3" s="7" t="s">
        <v>2</v>
      </c>
      <c r="D3" s="7" t="s">
        <v>3</v>
      </c>
      <c r="E3" s="7" t="s">
        <v>4</v>
      </c>
      <c r="F3" s="7" t="s">
        <v>5</v>
      </c>
      <c r="G3" s="7" t="s">
        <v>6</v>
      </c>
      <c r="H3" s="7" t="s">
        <v>7</v>
      </c>
      <c r="I3" s="8" t="s">
        <v>111</v>
      </c>
      <c r="J3" s="8" t="s">
        <v>100</v>
      </c>
      <c r="K3" s="8" t="s">
        <v>101</v>
      </c>
      <c r="L3" s="8" t="s">
        <v>102</v>
      </c>
      <c r="M3" s="8" t="s">
        <v>103</v>
      </c>
    </row>
    <row r="4" spans="1:13" ht="18" customHeight="1" x14ac:dyDescent="0.2">
      <c r="A4" s="9" t="s">
        <v>8</v>
      </c>
      <c r="B4" s="10" t="s">
        <v>9</v>
      </c>
      <c r="C4" s="11">
        <v>45302</v>
      </c>
      <c r="D4" s="10" t="s">
        <v>10</v>
      </c>
      <c r="E4" s="12">
        <v>29900</v>
      </c>
      <c r="F4" s="10" t="s">
        <v>11</v>
      </c>
      <c r="G4" s="10" t="s">
        <v>12</v>
      </c>
      <c r="H4" s="10" t="s">
        <v>13</v>
      </c>
      <c r="I4" s="13" t="str">
        <f t="shared" ref="I4:I53" si="0">IF(COUNTIF($A$4:$A$53,A4)&gt;1,"DUPLICATE","OK")</f>
        <v>OK</v>
      </c>
      <c r="J4" s="14" t="str">
        <f t="shared" ref="J4:J53" si="1">PROPER(F4)</f>
        <v>Failed</v>
      </c>
      <c r="K4" s="15">
        <f t="shared" ref="K4:K53" si="2">IF(E4&lt;0,0,E4)</f>
        <v>29900</v>
      </c>
      <c r="L4" s="16">
        <f t="shared" ref="L4:L53" si="3">IF(YEAR(C4)&lt;&gt;2024,DATE(2024,MONTH(C4),DAY(C4)),C4)</f>
        <v>45302</v>
      </c>
      <c r="M4" s="17" t="str">
        <f t="shared" ref="M4:M53" si="4">IF(H4="","Unknown",H4)</f>
        <v>Lagos</v>
      </c>
    </row>
    <row r="5" spans="1:13" ht="18" customHeight="1" x14ac:dyDescent="0.2">
      <c r="A5" s="18" t="s">
        <v>14</v>
      </c>
      <c r="B5" s="19" t="s">
        <v>15</v>
      </c>
      <c r="C5" s="20">
        <v>45306</v>
      </c>
      <c r="D5" s="19" t="s">
        <v>16</v>
      </c>
      <c r="E5" s="21">
        <v>91310</v>
      </c>
      <c r="F5" s="19" t="s">
        <v>17</v>
      </c>
      <c r="G5" s="19" t="s">
        <v>12</v>
      </c>
      <c r="H5" s="19" t="s">
        <v>18</v>
      </c>
      <c r="I5" s="13" t="str">
        <f t="shared" si="0"/>
        <v>OK</v>
      </c>
      <c r="J5" s="22" t="str">
        <f t="shared" si="1"/>
        <v>Success</v>
      </c>
      <c r="K5" s="23">
        <f t="shared" si="2"/>
        <v>91310</v>
      </c>
      <c r="L5" s="24">
        <f t="shared" si="3"/>
        <v>45306</v>
      </c>
      <c r="M5" s="25" t="str">
        <f t="shared" si="4"/>
        <v>Ibadan</v>
      </c>
    </row>
    <row r="6" spans="1:13" ht="18" customHeight="1" x14ac:dyDescent="0.2">
      <c r="A6" s="26" t="s">
        <v>19</v>
      </c>
      <c r="B6" s="10" t="s">
        <v>20</v>
      </c>
      <c r="C6" s="11">
        <v>45314</v>
      </c>
      <c r="D6" s="10" t="s">
        <v>10</v>
      </c>
      <c r="E6" s="12">
        <v>48340</v>
      </c>
      <c r="F6" s="10" t="s">
        <v>21</v>
      </c>
      <c r="G6" s="10" t="s">
        <v>22</v>
      </c>
      <c r="H6" s="10" t="s">
        <v>13</v>
      </c>
      <c r="I6" s="27" t="str">
        <f t="shared" si="0"/>
        <v>DUPLICATE</v>
      </c>
      <c r="J6" s="14" t="str">
        <f t="shared" si="1"/>
        <v>Pending</v>
      </c>
      <c r="K6" s="15">
        <f t="shared" si="2"/>
        <v>48340</v>
      </c>
      <c r="L6" s="16">
        <f t="shared" si="3"/>
        <v>45314</v>
      </c>
      <c r="M6" s="17" t="str">
        <f t="shared" si="4"/>
        <v>Lagos</v>
      </c>
    </row>
    <row r="7" spans="1:13" ht="18" customHeight="1" x14ac:dyDescent="0.2">
      <c r="A7" s="18" t="s">
        <v>23</v>
      </c>
      <c r="B7" s="19" t="s">
        <v>24</v>
      </c>
      <c r="C7" s="20">
        <v>45300</v>
      </c>
      <c r="D7" s="19" t="s">
        <v>25</v>
      </c>
      <c r="E7" s="21">
        <v>15660</v>
      </c>
      <c r="F7" s="19" t="s">
        <v>17</v>
      </c>
      <c r="G7" s="19" t="s">
        <v>12</v>
      </c>
      <c r="H7" s="19" t="s">
        <v>13</v>
      </c>
      <c r="I7" s="13" t="str">
        <f t="shared" si="0"/>
        <v>OK</v>
      </c>
      <c r="J7" s="22" t="str">
        <f t="shared" si="1"/>
        <v>Success</v>
      </c>
      <c r="K7" s="23">
        <f t="shared" si="2"/>
        <v>15660</v>
      </c>
      <c r="L7" s="24">
        <f t="shared" si="3"/>
        <v>45300</v>
      </c>
      <c r="M7" s="25" t="str">
        <f t="shared" si="4"/>
        <v>Lagos</v>
      </c>
    </row>
    <row r="8" spans="1:13" ht="18" customHeight="1" x14ac:dyDescent="0.2">
      <c r="A8" s="9" t="s">
        <v>26</v>
      </c>
      <c r="B8" s="10" t="s">
        <v>27</v>
      </c>
      <c r="C8" s="11">
        <v>45312</v>
      </c>
      <c r="D8" s="10" t="s">
        <v>28</v>
      </c>
      <c r="E8" s="12">
        <v>21040</v>
      </c>
      <c r="F8" s="10" t="s">
        <v>17</v>
      </c>
      <c r="G8" s="10" t="s">
        <v>22</v>
      </c>
      <c r="H8" s="10"/>
      <c r="I8" s="13" t="str">
        <f t="shared" si="0"/>
        <v>OK</v>
      </c>
      <c r="J8" s="14" t="str">
        <f t="shared" si="1"/>
        <v>Success</v>
      </c>
      <c r="K8" s="15">
        <f t="shared" si="2"/>
        <v>21040</v>
      </c>
      <c r="L8" s="16">
        <f t="shared" si="3"/>
        <v>45312</v>
      </c>
      <c r="M8" s="28" t="str">
        <f t="shared" si="4"/>
        <v>Unknown</v>
      </c>
    </row>
    <row r="9" spans="1:13" ht="18" customHeight="1" x14ac:dyDescent="0.2">
      <c r="A9" s="18" t="s">
        <v>29</v>
      </c>
      <c r="B9" s="19" t="s">
        <v>30</v>
      </c>
      <c r="C9" s="20">
        <v>45316</v>
      </c>
      <c r="D9" s="19" t="s">
        <v>10</v>
      </c>
      <c r="E9" s="21">
        <v>7100</v>
      </c>
      <c r="F9" s="29" t="s">
        <v>31</v>
      </c>
      <c r="G9" s="19" t="s">
        <v>32</v>
      </c>
      <c r="H9" s="19" t="s">
        <v>33</v>
      </c>
      <c r="I9" s="13" t="str">
        <f t="shared" si="0"/>
        <v>OK</v>
      </c>
      <c r="J9" s="22" t="str">
        <f t="shared" si="1"/>
        <v>Success</v>
      </c>
      <c r="K9" s="23">
        <f t="shared" si="2"/>
        <v>7100</v>
      </c>
      <c r="L9" s="24">
        <f t="shared" si="3"/>
        <v>45316</v>
      </c>
      <c r="M9" s="25" t="str">
        <f t="shared" si="4"/>
        <v>Abuja</v>
      </c>
    </row>
    <row r="10" spans="1:13" ht="18" customHeight="1" x14ac:dyDescent="0.2">
      <c r="A10" s="9" t="s">
        <v>34</v>
      </c>
      <c r="B10" s="10" t="s">
        <v>35</v>
      </c>
      <c r="C10" s="11">
        <v>45322</v>
      </c>
      <c r="D10" s="10" t="s">
        <v>16</v>
      </c>
      <c r="E10" s="12">
        <v>18930</v>
      </c>
      <c r="F10" s="10" t="s">
        <v>17</v>
      </c>
      <c r="G10" s="10" t="s">
        <v>36</v>
      </c>
      <c r="H10" s="10" t="s">
        <v>33</v>
      </c>
      <c r="I10" s="13" t="str">
        <f t="shared" si="0"/>
        <v>OK</v>
      </c>
      <c r="J10" s="14" t="str">
        <f t="shared" si="1"/>
        <v>Success</v>
      </c>
      <c r="K10" s="15">
        <f t="shared" si="2"/>
        <v>18930</v>
      </c>
      <c r="L10" s="16">
        <f t="shared" si="3"/>
        <v>45322</v>
      </c>
      <c r="M10" s="17" t="str">
        <f t="shared" si="4"/>
        <v>Abuja</v>
      </c>
    </row>
    <row r="11" spans="1:13" ht="18" customHeight="1" x14ac:dyDescent="0.2">
      <c r="A11" s="26" t="s">
        <v>19</v>
      </c>
      <c r="B11" s="19" t="s">
        <v>37</v>
      </c>
      <c r="C11" s="20">
        <v>45296</v>
      </c>
      <c r="D11" s="19" t="s">
        <v>28</v>
      </c>
      <c r="E11" s="21">
        <v>441650</v>
      </c>
      <c r="F11" s="19" t="s">
        <v>17</v>
      </c>
      <c r="G11" s="19" t="s">
        <v>36</v>
      </c>
      <c r="H11" s="19" t="s">
        <v>38</v>
      </c>
      <c r="I11" s="27" t="str">
        <f t="shared" si="0"/>
        <v>DUPLICATE</v>
      </c>
      <c r="J11" s="22" t="str">
        <f t="shared" si="1"/>
        <v>Success</v>
      </c>
      <c r="K11" s="23">
        <f t="shared" si="2"/>
        <v>441650</v>
      </c>
      <c r="L11" s="24">
        <f t="shared" si="3"/>
        <v>45296</v>
      </c>
      <c r="M11" s="25" t="str">
        <f t="shared" si="4"/>
        <v>Kano</v>
      </c>
    </row>
    <row r="12" spans="1:13" ht="18" customHeight="1" x14ac:dyDescent="0.2">
      <c r="A12" s="9" t="s">
        <v>39</v>
      </c>
      <c r="B12" s="10" t="s">
        <v>40</v>
      </c>
      <c r="C12" s="11">
        <v>45296</v>
      </c>
      <c r="D12" s="10" t="s">
        <v>16</v>
      </c>
      <c r="E12" s="12">
        <v>4540</v>
      </c>
      <c r="F12" s="10" t="s">
        <v>11</v>
      </c>
      <c r="G12" s="10" t="s">
        <v>22</v>
      </c>
      <c r="H12" s="10" t="s">
        <v>33</v>
      </c>
      <c r="I12" s="13" t="str">
        <f t="shared" si="0"/>
        <v>OK</v>
      </c>
      <c r="J12" s="14" t="str">
        <f t="shared" si="1"/>
        <v>Failed</v>
      </c>
      <c r="K12" s="15">
        <f t="shared" si="2"/>
        <v>4540</v>
      </c>
      <c r="L12" s="16">
        <f t="shared" si="3"/>
        <v>45296</v>
      </c>
      <c r="M12" s="17" t="str">
        <f t="shared" si="4"/>
        <v>Abuja</v>
      </c>
    </row>
    <row r="13" spans="1:13" ht="18" customHeight="1" x14ac:dyDescent="0.2">
      <c r="A13" s="18" t="s">
        <v>41</v>
      </c>
      <c r="B13" s="19" t="s">
        <v>42</v>
      </c>
      <c r="C13" s="20">
        <v>45313</v>
      </c>
      <c r="D13" s="19" t="s">
        <v>25</v>
      </c>
      <c r="E13" s="30">
        <v>-250080</v>
      </c>
      <c r="F13" s="19" t="s">
        <v>21</v>
      </c>
      <c r="G13" s="19" t="s">
        <v>12</v>
      </c>
      <c r="H13" s="19" t="s">
        <v>18</v>
      </c>
      <c r="I13" s="13" t="str">
        <f t="shared" si="0"/>
        <v>OK</v>
      </c>
      <c r="J13" s="22" t="str">
        <f t="shared" si="1"/>
        <v>Pending</v>
      </c>
      <c r="K13" s="31">
        <f t="shared" si="2"/>
        <v>0</v>
      </c>
      <c r="L13" s="24">
        <f t="shared" si="3"/>
        <v>45313</v>
      </c>
      <c r="M13" s="25" t="str">
        <f t="shared" si="4"/>
        <v>Ibadan</v>
      </c>
    </row>
    <row r="14" spans="1:13" ht="18" customHeight="1" x14ac:dyDescent="0.2">
      <c r="A14" s="9" t="s">
        <v>43</v>
      </c>
      <c r="B14" s="10" t="s">
        <v>44</v>
      </c>
      <c r="C14" s="11">
        <v>45322</v>
      </c>
      <c r="D14" s="10" t="s">
        <v>10</v>
      </c>
      <c r="E14" s="12">
        <v>49680</v>
      </c>
      <c r="F14" s="10" t="s">
        <v>11</v>
      </c>
      <c r="G14" s="10" t="s">
        <v>12</v>
      </c>
      <c r="H14" s="10" t="s">
        <v>13</v>
      </c>
      <c r="I14" s="13" t="str">
        <f t="shared" si="0"/>
        <v>OK</v>
      </c>
      <c r="J14" s="14" t="str">
        <f t="shared" si="1"/>
        <v>Failed</v>
      </c>
      <c r="K14" s="15">
        <f t="shared" si="2"/>
        <v>49680</v>
      </c>
      <c r="L14" s="16">
        <f t="shared" si="3"/>
        <v>45322</v>
      </c>
      <c r="M14" s="17" t="str">
        <f t="shared" si="4"/>
        <v>Lagos</v>
      </c>
    </row>
    <row r="15" spans="1:13" ht="18" customHeight="1" x14ac:dyDescent="0.2">
      <c r="A15" s="18" t="s">
        <v>45</v>
      </c>
      <c r="B15" s="19" t="s">
        <v>46</v>
      </c>
      <c r="C15" s="20">
        <v>45305</v>
      </c>
      <c r="D15" s="19" t="s">
        <v>28</v>
      </c>
      <c r="E15" s="21">
        <v>428580</v>
      </c>
      <c r="F15" s="19" t="s">
        <v>17</v>
      </c>
      <c r="G15" s="19" t="s">
        <v>22</v>
      </c>
      <c r="H15" s="19"/>
      <c r="I15" s="13" t="str">
        <f t="shared" si="0"/>
        <v>OK</v>
      </c>
      <c r="J15" s="22" t="str">
        <f t="shared" si="1"/>
        <v>Success</v>
      </c>
      <c r="K15" s="23">
        <f t="shared" si="2"/>
        <v>428580</v>
      </c>
      <c r="L15" s="24">
        <f t="shared" si="3"/>
        <v>45305</v>
      </c>
      <c r="M15" s="28" t="str">
        <f t="shared" si="4"/>
        <v>Unknown</v>
      </c>
    </row>
    <row r="16" spans="1:13" ht="18" customHeight="1" x14ac:dyDescent="0.2">
      <c r="A16" s="9" t="s">
        <v>47</v>
      </c>
      <c r="B16" s="10" t="s">
        <v>35</v>
      </c>
      <c r="C16" s="11">
        <v>45295</v>
      </c>
      <c r="D16" s="10" t="s">
        <v>48</v>
      </c>
      <c r="E16" s="12">
        <v>4660</v>
      </c>
      <c r="F16" s="29" t="s">
        <v>49</v>
      </c>
      <c r="G16" s="10" t="s">
        <v>22</v>
      </c>
      <c r="H16" s="10" t="s">
        <v>18</v>
      </c>
      <c r="I16" s="13" t="str">
        <f t="shared" si="0"/>
        <v>OK</v>
      </c>
      <c r="J16" s="14" t="str">
        <f t="shared" si="1"/>
        <v>Success</v>
      </c>
      <c r="K16" s="15">
        <f t="shared" si="2"/>
        <v>4660</v>
      </c>
      <c r="L16" s="16">
        <f t="shared" si="3"/>
        <v>45295</v>
      </c>
      <c r="M16" s="17" t="str">
        <f t="shared" si="4"/>
        <v>Ibadan</v>
      </c>
    </row>
    <row r="17" spans="1:13" ht="18" customHeight="1" x14ac:dyDescent="0.2">
      <c r="A17" s="18" t="s">
        <v>50</v>
      </c>
      <c r="B17" s="19" t="s">
        <v>9</v>
      </c>
      <c r="C17" s="20">
        <v>45321</v>
      </c>
      <c r="D17" s="19" t="s">
        <v>16</v>
      </c>
      <c r="E17" s="21">
        <v>44250</v>
      </c>
      <c r="F17" s="19" t="s">
        <v>17</v>
      </c>
      <c r="G17" s="19" t="s">
        <v>12</v>
      </c>
      <c r="H17" s="19" t="s">
        <v>38</v>
      </c>
      <c r="I17" s="13" t="str">
        <f t="shared" si="0"/>
        <v>OK</v>
      </c>
      <c r="J17" s="22" t="str">
        <f t="shared" si="1"/>
        <v>Success</v>
      </c>
      <c r="K17" s="23">
        <f t="shared" si="2"/>
        <v>44250</v>
      </c>
      <c r="L17" s="24">
        <f t="shared" si="3"/>
        <v>45321</v>
      </c>
      <c r="M17" s="25" t="str">
        <f t="shared" si="4"/>
        <v>Kano</v>
      </c>
    </row>
    <row r="18" spans="1:13" ht="18" customHeight="1" x14ac:dyDescent="0.2">
      <c r="A18" s="26" t="s">
        <v>51</v>
      </c>
      <c r="B18" s="10" t="s">
        <v>40</v>
      </c>
      <c r="C18" s="11">
        <v>45293</v>
      </c>
      <c r="D18" s="10" t="s">
        <v>28</v>
      </c>
      <c r="E18" s="12">
        <v>10610</v>
      </c>
      <c r="F18" s="10" t="s">
        <v>11</v>
      </c>
      <c r="G18" s="10" t="s">
        <v>22</v>
      </c>
      <c r="H18" s="10" t="s">
        <v>33</v>
      </c>
      <c r="I18" s="27" t="str">
        <f t="shared" si="0"/>
        <v>DUPLICATE</v>
      </c>
      <c r="J18" s="14" t="str">
        <f t="shared" si="1"/>
        <v>Failed</v>
      </c>
      <c r="K18" s="15">
        <f t="shared" si="2"/>
        <v>10610</v>
      </c>
      <c r="L18" s="16">
        <f t="shared" si="3"/>
        <v>45293</v>
      </c>
      <c r="M18" s="17" t="str">
        <f t="shared" si="4"/>
        <v>Abuja</v>
      </c>
    </row>
    <row r="19" spans="1:13" ht="18" customHeight="1" x14ac:dyDescent="0.2">
      <c r="A19" s="18" t="s">
        <v>52</v>
      </c>
      <c r="B19" s="19" t="s">
        <v>53</v>
      </c>
      <c r="C19" s="20">
        <v>45307</v>
      </c>
      <c r="D19" s="19" t="s">
        <v>16</v>
      </c>
      <c r="E19" s="21">
        <v>326650</v>
      </c>
      <c r="F19" s="19" t="s">
        <v>17</v>
      </c>
      <c r="G19" s="19" t="s">
        <v>22</v>
      </c>
      <c r="H19" s="19" t="s">
        <v>18</v>
      </c>
      <c r="I19" s="13" t="str">
        <f t="shared" si="0"/>
        <v>OK</v>
      </c>
      <c r="J19" s="22" t="str">
        <f t="shared" si="1"/>
        <v>Success</v>
      </c>
      <c r="K19" s="23">
        <f t="shared" si="2"/>
        <v>326650</v>
      </c>
      <c r="L19" s="24">
        <f t="shared" si="3"/>
        <v>45307</v>
      </c>
      <c r="M19" s="25" t="str">
        <f t="shared" si="4"/>
        <v>Ibadan</v>
      </c>
    </row>
    <row r="20" spans="1:13" ht="18" customHeight="1" x14ac:dyDescent="0.2">
      <c r="A20" s="9" t="s">
        <v>54</v>
      </c>
      <c r="B20" s="10" t="s">
        <v>9</v>
      </c>
      <c r="C20" s="32">
        <v>38003</v>
      </c>
      <c r="D20" s="10" t="s">
        <v>28</v>
      </c>
      <c r="E20" s="12">
        <v>402160</v>
      </c>
      <c r="F20" s="10" t="s">
        <v>17</v>
      </c>
      <c r="G20" s="10" t="s">
        <v>36</v>
      </c>
      <c r="H20" s="10" t="s">
        <v>13</v>
      </c>
      <c r="I20" s="13" t="str">
        <f t="shared" si="0"/>
        <v>OK</v>
      </c>
      <c r="J20" s="14" t="str">
        <f t="shared" si="1"/>
        <v>Success</v>
      </c>
      <c r="K20" s="15">
        <f t="shared" si="2"/>
        <v>402160</v>
      </c>
      <c r="L20" s="33">
        <f t="shared" si="3"/>
        <v>45308</v>
      </c>
      <c r="M20" s="17" t="str">
        <f t="shared" si="4"/>
        <v>Lagos</v>
      </c>
    </row>
    <row r="21" spans="1:13" ht="18" customHeight="1" x14ac:dyDescent="0.2">
      <c r="A21" s="18" t="s">
        <v>55</v>
      </c>
      <c r="B21" s="19" t="s">
        <v>40</v>
      </c>
      <c r="C21" s="20">
        <v>45299</v>
      </c>
      <c r="D21" s="19" t="s">
        <v>10</v>
      </c>
      <c r="E21" s="21">
        <v>358440</v>
      </c>
      <c r="F21" s="19" t="s">
        <v>17</v>
      </c>
      <c r="G21" s="19" t="s">
        <v>22</v>
      </c>
      <c r="H21" s="19" t="s">
        <v>13</v>
      </c>
      <c r="I21" s="13" t="str">
        <f t="shared" si="0"/>
        <v>OK</v>
      </c>
      <c r="J21" s="22" t="str">
        <f t="shared" si="1"/>
        <v>Success</v>
      </c>
      <c r="K21" s="23">
        <f t="shared" si="2"/>
        <v>358440</v>
      </c>
      <c r="L21" s="24">
        <f t="shared" si="3"/>
        <v>45299</v>
      </c>
      <c r="M21" s="25" t="str">
        <f t="shared" si="4"/>
        <v>Lagos</v>
      </c>
    </row>
    <row r="22" spans="1:13" ht="18" customHeight="1" x14ac:dyDescent="0.2">
      <c r="A22" s="9" t="s">
        <v>56</v>
      </c>
      <c r="B22" s="10" t="s">
        <v>57</v>
      </c>
      <c r="C22" s="11">
        <v>45314</v>
      </c>
      <c r="D22" s="10" t="s">
        <v>10</v>
      </c>
      <c r="E22" s="12">
        <v>9420</v>
      </c>
      <c r="F22" s="10" t="s">
        <v>17</v>
      </c>
      <c r="G22" s="10" t="s">
        <v>22</v>
      </c>
      <c r="H22" s="10" t="s">
        <v>38</v>
      </c>
      <c r="I22" s="13" t="str">
        <f t="shared" si="0"/>
        <v>OK</v>
      </c>
      <c r="J22" s="14" t="str">
        <f t="shared" si="1"/>
        <v>Success</v>
      </c>
      <c r="K22" s="15">
        <f t="shared" si="2"/>
        <v>9420</v>
      </c>
      <c r="L22" s="16">
        <f t="shared" si="3"/>
        <v>45314</v>
      </c>
      <c r="M22" s="17" t="str">
        <f t="shared" si="4"/>
        <v>Kano</v>
      </c>
    </row>
    <row r="23" spans="1:13" ht="18" customHeight="1" x14ac:dyDescent="0.2">
      <c r="A23" s="18" t="s">
        <v>58</v>
      </c>
      <c r="B23" s="19" t="s">
        <v>53</v>
      </c>
      <c r="C23" s="20">
        <v>45307</v>
      </c>
      <c r="D23" s="19" t="s">
        <v>28</v>
      </c>
      <c r="E23" s="21">
        <v>429240</v>
      </c>
      <c r="F23" s="19" t="s">
        <v>17</v>
      </c>
      <c r="G23" s="19" t="s">
        <v>22</v>
      </c>
      <c r="H23" s="19"/>
      <c r="I23" s="13" t="str">
        <f t="shared" si="0"/>
        <v>OK</v>
      </c>
      <c r="J23" s="22" t="str">
        <f t="shared" si="1"/>
        <v>Success</v>
      </c>
      <c r="K23" s="23">
        <f t="shared" si="2"/>
        <v>429240</v>
      </c>
      <c r="L23" s="24">
        <f t="shared" si="3"/>
        <v>45307</v>
      </c>
      <c r="M23" s="28" t="str">
        <f t="shared" si="4"/>
        <v>Unknown</v>
      </c>
    </row>
    <row r="24" spans="1:13" ht="18" customHeight="1" x14ac:dyDescent="0.2">
      <c r="A24" s="9" t="s">
        <v>59</v>
      </c>
      <c r="B24" s="10" t="s">
        <v>42</v>
      </c>
      <c r="C24" s="11">
        <v>45305</v>
      </c>
      <c r="D24" s="10" t="s">
        <v>28</v>
      </c>
      <c r="E24" s="12">
        <v>11350</v>
      </c>
      <c r="F24" s="10" t="s">
        <v>17</v>
      </c>
      <c r="G24" s="10" t="s">
        <v>36</v>
      </c>
      <c r="H24" s="10" t="s">
        <v>60</v>
      </c>
      <c r="I24" s="13" t="str">
        <f t="shared" si="0"/>
        <v>OK</v>
      </c>
      <c r="J24" s="14" t="str">
        <f t="shared" si="1"/>
        <v>Success</v>
      </c>
      <c r="K24" s="15">
        <f t="shared" si="2"/>
        <v>11350</v>
      </c>
      <c r="L24" s="16">
        <f t="shared" si="3"/>
        <v>45305</v>
      </c>
      <c r="M24" s="17" t="str">
        <f t="shared" si="4"/>
        <v>Port Harcourt</v>
      </c>
    </row>
    <row r="25" spans="1:13" ht="18" customHeight="1" x14ac:dyDescent="0.2">
      <c r="A25" s="26" t="s">
        <v>51</v>
      </c>
      <c r="B25" s="19" t="s">
        <v>44</v>
      </c>
      <c r="C25" s="20">
        <v>45315</v>
      </c>
      <c r="D25" s="19" t="s">
        <v>10</v>
      </c>
      <c r="E25" s="21">
        <v>261090</v>
      </c>
      <c r="F25" s="19" t="s">
        <v>17</v>
      </c>
      <c r="G25" s="19" t="s">
        <v>32</v>
      </c>
      <c r="H25" s="19" t="s">
        <v>33</v>
      </c>
      <c r="I25" s="27" t="str">
        <f t="shared" si="0"/>
        <v>DUPLICATE</v>
      </c>
      <c r="J25" s="22" t="str">
        <f t="shared" si="1"/>
        <v>Success</v>
      </c>
      <c r="K25" s="23">
        <f t="shared" si="2"/>
        <v>261090</v>
      </c>
      <c r="L25" s="24">
        <f t="shared" si="3"/>
        <v>45315</v>
      </c>
      <c r="M25" s="25" t="str">
        <f t="shared" si="4"/>
        <v>Abuja</v>
      </c>
    </row>
    <row r="26" spans="1:13" ht="18" customHeight="1" x14ac:dyDescent="0.2">
      <c r="A26" s="9" t="s">
        <v>61</v>
      </c>
      <c r="B26" s="10" t="s">
        <v>20</v>
      </c>
      <c r="C26" s="11">
        <v>45298</v>
      </c>
      <c r="D26" s="10" t="s">
        <v>16</v>
      </c>
      <c r="E26" s="12">
        <v>4180</v>
      </c>
      <c r="F26" s="10" t="s">
        <v>17</v>
      </c>
      <c r="G26" s="10" t="s">
        <v>22</v>
      </c>
      <c r="H26" s="10" t="s">
        <v>13</v>
      </c>
      <c r="I26" s="13" t="str">
        <f t="shared" si="0"/>
        <v>OK</v>
      </c>
      <c r="J26" s="14" t="str">
        <f t="shared" si="1"/>
        <v>Success</v>
      </c>
      <c r="K26" s="15">
        <f t="shared" si="2"/>
        <v>4180</v>
      </c>
      <c r="L26" s="16">
        <f t="shared" si="3"/>
        <v>45298</v>
      </c>
      <c r="M26" s="17" t="str">
        <f t="shared" si="4"/>
        <v>Lagos</v>
      </c>
    </row>
    <row r="27" spans="1:13" ht="18" customHeight="1" x14ac:dyDescent="0.2">
      <c r="A27" s="18" t="s">
        <v>62</v>
      </c>
      <c r="B27" s="19" t="s">
        <v>63</v>
      </c>
      <c r="C27" s="20">
        <v>45317</v>
      </c>
      <c r="D27" s="19" t="s">
        <v>16</v>
      </c>
      <c r="E27" s="21">
        <v>391910</v>
      </c>
      <c r="F27" s="19" t="s">
        <v>11</v>
      </c>
      <c r="G27" s="19" t="s">
        <v>32</v>
      </c>
      <c r="H27" s="19" t="s">
        <v>33</v>
      </c>
      <c r="I27" s="13" t="str">
        <f t="shared" si="0"/>
        <v>OK</v>
      </c>
      <c r="J27" s="22" t="str">
        <f t="shared" si="1"/>
        <v>Failed</v>
      </c>
      <c r="K27" s="23">
        <f t="shared" si="2"/>
        <v>391910</v>
      </c>
      <c r="L27" s="24">
        <f t="shared" si="3"/>
        <v>45317</v>
      </c>
      <c r="M27" s="25" t="str">
        <f t="shared" si="4"/>
        <v>Abuja</v>
      </c>
    </row>
    <row r="28" spans="1:13" ht="18" customHeight="1" x14ac:dyDescent="0.2">
      <c r="A28" s="9" t="s">
        <v>64</v>
      </c>
      <c r="B28" s="10" t="s">
        <v>65</v>
      </c>
      <c r="C28" s="11">
        <v>45305</v>
      </c>
      <c r="D28" s="10" t="s">
        <v>25</v>
      </c>
      <c r="E28" s="12">
        <v>4440</v>
      </c>
      <c r="F28" s="29" t="s">
        <v>66</v>
      </c>
      <c r="G28" s="10" t="s">
        <v>32</v>
      </c>
      <c r="H28" s="10" t="s">
        <v>60</v>
      </c>
      <c r="I28" s="13" t="str">
        <f t="shared" si="0"/>
        <v>OK</v>
      </c>
      <c r="J28" s="14" t="str">
        <f t="shared" si="1"/>
        <v>Failed</v>
      </c>
      <c r="K28" s="15">
        <f t="shared" si="2"/>
        <v>4440</v>
      </c>
      <c r="L28" s="16">
        <f t="shared" si="3"/>
        <v>45305</v>
      </c>
      <c r="M28" s="17" t="str">
        <f t="shared" si="4"/>
        <v>Port Harcourt</v>
      </c>
    </row>
    <row r="29" spans="1:13" ht="18" customHeight="1" x14ac:dyDescent="0.2">
      <c r="A29" s="18" t="s">
        <v>67</v>
      </c>
      <c r="B29" s="19" t="s">
        <v>37</v>
      </c>
      <c r="C29" s="20">
        <v>45321</v>
      </c>
      <c r="D29" s="19" t="s">
        <v>25</v>
      </c>
      <c r="E29" s="21">
        <v>415210</v>
      </c>
      <c r="F29" s="19" t="s">
        <v>21</v>
      </c>
      <c r="G29" s="19" t="s">
        <v>36</v>
      </c>
      <c r="H29" s="19" t="s">
        <v>33</v>
      </c>
      <c r="I29" s="13" t="str">
        <f t="shared" si="0"/>
        <v>OK</v>
      </c>
      <c r="J29" s="22" t="str">
        <f t="shared" si="1"/>
        <v>Pending</v>
      </c>
      <c r="K29" s="23">
        <f t="shared" si="2"/>
        <v>415210</v>
      </c>
      <c r="L29" s="24">
        <f t="shared" si="3"/>
        <v>45321</v>
      </c>
      <c r="M29" s="25" t="str">
        <f t="shared" si="4"/>
        <v>Abuja</v>
      </c>
    </row>
    <row r="30" spans="1:13" ht="18" customHeight="1" x14ac:dyDescent="0.2">
      <c r="A30" s="9" t="s">
        <v>68</v>
      </c>
      <c r="B30" s="10" t="s">
        <v>20</v>
      </c>
      <c r="C30" s="11">
        <v>45301</v>
      </c>
      <c r="D30" s="10" t="s">
        <v>28</v>
      </c>
      <c r="E30" s="12">
        <v>435740</v>
      </c>
      <c r="F30" s="10" t="s">
        <v>17</v>
      </c>
      <c r="G30" s="10" t="s">
        <v>12</v>
      </c>
      <c r="H30" s="10" t="s">
        <v>13</v>
      </c>
      <c r="I30" s="13" t="str">
        <f t="shared" si="0"/>
        <v>OK</v>
      </c>
      <c r="J30" s="14" t="str">
        <f t="shared" si="1"/>
        <v>Success</v>
      </c>
      <c r="K30" s="15">
        <f t="shared" si="2"/>
        <v>435740</v>
      </c>
      <c r="L30" s="16">
        <f t="shared" si="3"/>
        <v>45301</v>
      </c>
      <c r="M30" s="17" t="str">
        <f t="shared" si="4"/>
        <v>Lagos</v>
      </c>
    </row>
    <row r="31" spans="1:13" ht="18" customHeight="1" x14ac:dyDescent="0.2">
      <c r="A31" s="18" t="s">
        <v>69</v>
      </c>
      <c r="B31" s="19" t="s">
        <v>70</v>
      </c>
      <c r="C31" s="20">
        <v>45310</v>
      </c>
      <c r="D31" s="19" t="s">
        <v>25</v>
      </c>
      <c r="E31" s="21">
        <v>4620</v>
      </c>
      <c r="F31" s="19" t="s">
        <v>21</v>
      </c>
      <c r="G31" s="19" t="s">
        <v>32</v>
      </c>
      <c r="H31" s="19" t="s">
        <v>33</v>
      </c>
      <c r="I31" s="13" t="str">
        <f t="shared" si="0"/>
        <v>OK</v>
      </c>
      <c r="J31" s="22" t="str">
        <f t="shared" si="1"/>
        <v>Pending</v>
      </c>
      <c r="K31" s="23">
        <f t="shared" si="2"/>
        <v>4620</v>
      </c>
      <c r="L31" s="24">
        <f t="shared" si="3"/>
        <v>45310</v>
      </c>
      <c r="M31" s="25" t="str">
        <f t="shared" si="4"/>
        <v>Abuja</v>
      </c>
    </row>
    <row r="32" spans="1:13" ht="18" customHeight="1" x14ac:dyDescent="0.2">
      <c r="A32" s="9" t="s">
        <v>71</v>
      </c>
      <c r="B32" s="10" t="s">
        <v>57</v>
      </c>
      <c r="C32" s="11">
        <v>45311</v>
      </c>
      <c r="D32" s="10" t="s">
        <v>10</v>
      </c>
      <c r="E32" s="12">
        <v>112860</v>
      </c>
      <c r="F32" s="10" t="s">
        <v>17</v>
      </c>
      <c r="G32" s="10" t="s">
        <v>32</v>
      </c>
      <c r="H32" s="10"/>
      <c r="I32" s="13" t="str">
        <f t="shared" si="0"/>
        <v>OK</v>
      </c>
      <c r="J32" s="14" t="str">
        <f t="shared" si="1"/>
        <v>Success</v>
      </c>
      <c r="K32" s="15">
        <f t="shared" si="2"/>
        <v>112860</v>
      </c>
      <c r="L32" s="16">
        <f t="shared" si="3"/>
        <v>45311</v>
      </c>
      <c r="M32" s="28" t="str">
        <f t="shared" si="4"/>
        <v>Unknown</v>
      </c>
    </row>
    <row r="33" spans="1:13" ht="18" customHeight="1" x14ac:dyDescent="0.2">
      <c r="A33" s="18" t="s">
        <v>72</v>
      </c>
      <c r="B33" s="19" t="s">
        <v>57</v>
      </c>
      <c r="C33" s="20">
        <v>45305</v>
      </c>
      <c r="D33" s="19" t="s">
        <v>16</v>
      </c>
      <c r="E33" s="21">
        <v>4780</v>
      </c>
      <c r="F33" s="19" t="s">
        <v>17</v>
      </c>
      <c r="G33" s="19" t="s">
        <v>12</v>
      </c>
      <c r="H33" s="19" t="s">
        <v>33</v>
      </c>
      <c r="I33" s="13" t="str">
        <f t="shared" si="0"/>
        <v>OK</v>
      </c>
      <c r="J33" s="22" t="str">
        <f t="shared" si="1"/>
        <v>Success</v>
      </c>
      <c r="K33" s="23">
        <f t="shared" si="2"/>
        <v>4780</v>
      </c>
      <c r="L33" s="24">
        <f t="shared" si="3"/>
        <v>45305</v>
      </c>
      <c r="M33" s="25" t="str">
        <f t="shared" si="4"/>
        <v>Abuja</v>
      </c>
    </row>
    <row r="34" spans="1:13" ht="18" customHeight="1" x14ac:dyDescent="0.2">
      <c r="A34" s="9" t="s">
        <v>73</v>
      </c>
      <c r="B34" s="10" t="s">
        <v>37</v>
      </c>
      <c r="C34" s="11">
        <v>45304</v>
      </c>
      <c r="D34" s="10" t="s">
        <v>28</v>
      </c>
      <c r="E34" s="12">
        <v>2960</v>
      </c>
      <c r="F34" s="10" t="s">
        <v>17</v>
      </c>
      <c r="G34" s="10" t="s">
        <v>32</v>
      </c>
      <c r="H34" s="10" t="s">
        <v>13</v>
      </c>
      <c r="I34" s="13" t="str">
        <f t="shared" si="0"/>
        <v>OK</v>
      </c>
      <c r="J34" s="14" t="str">
        <f t="shared" si="1"/>
        <v>Success</v>
      </c>
      <c r="K34" s="15">
        <f t="shared" si="2"/>
        <v>2960</v>
      </c>
      <c r="L34" s="16">
        <f t="shared" si="3"/>
        <v>45304</v>
      </c>
      <c r="M34" s="17" t="str">
        <f t="shared" si="4"/>
        <v>Lagos</v>
      </c>
    </row>
    <row r="35" spans="1:13" ht="18" customHeight="1" x14ac:dyDescent="0.2">
      <c r="A35" s="18" t="s">
        <v>74</v>
      </c>
      <c r="B35" s="19" t="s">
        <v>75</v>
      </c>
      <c r="C35" s="20">
        <v>45298</v>
      </c>
      <c r="D35" s="19" t="s">
        <v>16</v>
      </c>
      <c r="E35" s="21">
        <v>2670</v>
      </c>
      <c r="F35" s="19" t="s">
        <v>11</v>
      </c>
      <c r="G35" s="19" t="s">
        <v>12</v>
      </c>
      <c r="H35" s="19" t="s">
        <v>38</v>
      </c>
      <c r="I35" s="13" t="str">
        <f t="shared" si="0"/>
        <v>OK</v>
      </c>
      <c r="J35" s="22" t="str">
        <f t="shared" si="1"/>
        <v>Failed</v>
      </c>
      <c r="K35" s="23">
        <f t="shared" si="2"/>
        <v>2670</v>
      </c>
      <c r="L35" s="24">
        <f t="shared" si="3"/>
        <v>45298</v>
      </c>
      <c r="M35" s="25" t="str">
        <f t="shared" si="4"/>
        <v>Kano</v>
      </c>
    </row>
    <row r="36" spans="1:13" ht="18" customHeight="1" x14ac:dyDescent="0.2">
      <c r="A36" s="9" t="s">
        <v>76</v>
      </c>
      <c r="B36" s="10" t="s">
        <v>65</v>
      </c>
      <c r="C36" s="11">
        <v>45306</v>
      </c>
      <c r="D36" s="10" t="s">
        <v>16</v>
      </c>
      <c r="E36" s="12">
        <v>473150</v>
      </c>
      <c r="F36" s="10" t="s">
        <v>17</v>
      </c>
      <c r="G36" s="10" t="s">
        <v>12</v>
      </c>
      <c r="H36" s="10" t="s">
        <v>13</v>
      </c>
      <c r="I36" s="13" t="str">
        <f t="shared" si="0"/>
        <v>OK</v>
      </c>
      <c r="J36" s="14" t="str">
        <f t="shared" si="1"/>
        <v>Success</v>
      </c>
      <c r="K36" s="15">
        <f t="shared" si="2"/>
        <v>473150</v>
      </c>
      <c r="L36" s="16">
        <f t="shared" si="3"/>
        <v>45306</v>
      </c>
      <c r="M36" s="17" t="str">
        <f t="shared" si="4"/>
        <v>Lagos</v>
      </c>
    </row>
    <row r="37" spans="1:13" ht="18" customHeight="1" x14ac:dyDescent="0.2">
      <c r="A37" s="18" t="s">
        <v>77</v>
      </c>
      <c r="B37" s="19" t="s">
        <v>78</v>
      </c>
      <c r="C37" s="20">
        <v>45296</v>
      </c>
      <c r="D37" s="19" t="s">
        <v>48</v>
      </c>
      <c r="E37" s="30">
        <v>-439240</v>
      </c>
      <c r="F37" s="19" t="s">
        <v>17</v>
      </c>
      <c r="G37" s="19" t="s">
        <v>12</v>
      </c>
      <c r="H37" s="19" t="s">
        <v>18</v>
      </c>
      <c r="I37" s="13" t="str">
        <f t="shared" si="0"/>
        <v>OK</v>
      </c>
      <c r="J37" s="22" t="str">
        <f t="shared" si="1"/>
        <v>Success</v>
      </c>
      <c r="K37" s="31">
        <f t="shared" si="2"/>
        <v>0</v>
      </c>
      <c r="L37" s="24">
        <f t="shared" si="3"/>
        <v>45296</v>
      </c>
      <c r="M37" s="25" t="str">
        <f t="shared" si="4"/>
        <v>Ibadan</v>
      </c>
    </row>
    <row r="38" spans="1:13" ht="18" customHeight="1" x14ac:dyDescent="0.2">
      <c r="A38" s="9" t="s">
        <v>79</v>
      </c>
      <c r="B38" s="10" t="s">
        <v>20</v>
      </c>
      <c r="C38" s="11">
        <v>45314</v>
      </c>
      <c r="D38" s="10" t="s">
        <v>48</v>
      </c>
      <c r="E38" s="12">
        <v>46560</v>
      </c>
      <c r="F38" s="10" t="s">
        <v>17</v>
      </c>
      <c r="G38" s="10" t="s">
        <v>12</v>
      </c>
      <c r="H38" s="10" t="s">
        <v>13</v>
      </c>
      <c r="I38" s="13" t="str">
        <f t="shared" si="0"/>
        <v>OK</v>
      </c>
      <c r="J38" s="14" t="str">
        <f t="shared" si="1"/>
        <v>Success</v>
      </c>
      <c r="K38" s="15">
        <f t="shared" si="2"/>
        <v>46560</v>
      </c>
      <c r="L38" s="16">
        <f t="shared" si="3"/>
        <v>45314</v>
      </c>
      <c r="M38" s="17" t="str">
        <f t="shared" si="4"/>
        <v>Lagos</v>
      </c>
    </row>
    <row r="39" spans="1:13" ht="18" customHeight="1" x14ac:dyDescent="0.2">
      <c r="A39" s="18" t="s">
        <v>80</v>
      </c>
      <c r="B39" s="19" t="s">
        <v>57</v>
      </c>
      <c r="C39" s="20">
        <v>45312</v>
      </c>
      <c r="D39" s="19" t="s">
        <v>25</v>
      </c>
      <c r="E39" s="21">
        <v>7890</v>
      </c>
      <c r="F39" s="19" t="s">
        <v>11</v>
      </c>
      <c r="G39" s="19" t="s">
        <v>12</v>
      </c>
      <c r="H39" s="19" t="s">
        <v>33</v>
      </c>
      <c r="I39" s="13" t="str">
        <f t="shared" si="0"/>
        <v>OK</v>
      </c>
      <c r="J39" s="22" t="str">
        <f t="shared" si="1"/>
        <v>Failed</v>
      </c>
      <c r="K39" s="23">
        <f t="shared" si="2"/>
        <v>7890</v>
      </c>
      <c r="L39" s="24">
        <f t="shared" si="3"/>
        <v>45312</v>
      </c>
      <c r="M39" s="25" t="str">
        <f t="shared" si="4"/>
        <v>Abuja</v>
      </c>
    </row>
    <row r="40" spans="1:13" ht="18" customHeight="1" x14ac:dyDescent="0.2">
      <c r="A40" s="9" t="s">
        <v>81</v>
      </c>
      <c r="B40" s="10" t="s">
        <v>15</v>
      </c>
      <c r="C40" s="11">
        <v>45306</v>
      </c>
      <c r="D40" s="10" t="s">
        <v>16</v>
      </c>
      <c r="E40" s="12">
        <v>4000</v>
      </c>
      <c r="F40" s="10" t="s">
        <v>17</v>
      </c>
      <c r="G40" s="10" t="s">
        <v>22</v>
      </c>
      <c r="H40" s="10"/>
      <c r="I40" s="13" t="str">
        <f t="shared" si="0"/>
        <v>OK</v>
      </c>
      <c r="J40" s="14" t="str">
        <f t="shared" si="1"/>
        <v>Success</v>
      </c>
      <c r="K40" s="15">
        <f t="shared" si="2"/>
        <v>4000</v>
      </c>
      <c r="L40" s="16">
        <f t="shared" si="3"/>
        <v>45306</v>
      </c>
      <c r="M40" s="28" t="str">
        <f t="shared" si="4"/>
        <v>Unknown</v>
      </c>
    </row>
    <row r="41" spans="1:13" ht="18" customHeight="1" x14ac:dyDescent="0.2">
      <c r="A41" s="18" t="s">
        <v>82</v>
      </c>
      <c r="B41" s="19" t="s">
        <v>70</v>
      </c>
      <c r="C41" s="20">
        <v>45318</v>
      </c>
      <c r="D41" s="19" t="s">
        <v>48</v>
      </c>
      <c r="E41" s="21">
        <v>1710</v>
      </c>
      <c r="F41" s="19" t="s">
        <v>17</v>
      </c>
      <c r="G41" s="19" t="s">
        <v>32</v>
      </c>
      <c r="H41" s="19" t="s">
        <v>38</v>
      </c>
      <c r="I41" s="13" t="str">
        <f t="shared" si="0"/>
        <v>OK</v>
      </c>
      <c r="J41" s="22" t="str">
        <f t="shared" si="1"/>
        <v>Success</v>
      </c>
      <c r="K41" s="23">
        <f t="shared" si="2"/>
        <v>1710</v>
      </c>
      <c r="L41" s="24">
        <f t="shared" si="3"/>
        <v>45318</v>
      </c>
      <c r="M41" s="25" t="str">
        <f t="shared" si="4"/>
        <v>Kano</v>
      </c>
    </row>
    <row r="42" spans="1:13" ht="18" customHeight="1" x14ac:dyDescent="0.2">
      <c r="A42" s="9" t="s">
        <v>83</v>
      </c>
      <c r="B42" s="10" t="s">
        <v>20</v>
      </c>
      <c r="C42" s="11">
        <v>45313</v>
      </c>
      <c r="D42" s="10" t="s">
        <v>28</v>
      </c>
      <c r="E42" s="12">
        <v>459000</v>
      </c>
      <c r="F42" s="29" t="s">
        <v>84</v>
      </c>
      <c r="G42" s="10" t="s">
        <v>36</v>
      </c>
      <c r="H42" s="10" t="s">
        <v>18</v>
      </c>
      <c r="I42" s="13" t="str">
        <f t="shared" si="0"/>
        <v>OK</v>
      </c>
      <c r="J42" s="14" t="str">
        <f t="shared" si="1"/>
        <v>Pending</v>
      </c>
      <c r="K42" s="15">
        <f t="shared" si="2"/>
        <v>459000</v>
      </c>
      <c r="L42" s="16">
        <f t="shared" si="3"/>
        <v>45313</v>
      </c>
      <c r="M42" s="17" t="str">
        <f t="shared" si="4"/>
        <v>Ibadan</v>
      </c>
    </row>
    <row r="43" spans="1:13" ht="18" customHeight="1" x14ac:dyDescent="0.2">
      <c r="A43" s="18" t="s">
        <v>85</v>
      </c>
      <c r="B43" s="19" t="s">
        <v>15</v>
      </c>
      <c r="C43" s="20">
        <v>45296</v>
      </c>
      <c r="D43" s="19" t="s">
        <v>28</v>
      </c>
      <c r="E43" s="21">
        <v>1830</v>
      </c>
      <c r="F43" s="19" t="s">
        <v>17</v>
      </c>
      <c r="G43" s="19" t="s">
        <v>12</v>
      </c>
      <c r="H43" s="19" t="s">
        <v>60</v>
      </c>
      <c r="I43" s="13" t="str">
        <f t="shared" si="0"/>
        <v>OK</v>
      </c>
      <c r="J43" s="22" t="str">
        <f t="shared" si="1"/>
        <v>Success</v>
      </c>
      <c r="K43" s="23">
        <f t="shared" si="2"/>
        <v>1830</v>
      </c>
      <c r="L43" s="24">
        <f t="shared" si="3"/>
        <v>45296</v>
      </c>
      <c r="M43" s="25" t="str">
        <f t="shared" si="4"/>
        <v>Port Harcourt</v>
      </c>
    </row>
    <row r="44" spans="1:13" ht="18" customHeight="1" x14ac:dyDescent="0.2">
      <c r="A44" s="9" t="s">
        <v>86</v>
      </c>
      <c r="B44" s="10" t="s">
        <v>42</v>
      </c>
      <c r="C44" s="11">
        <v>45313</v>
      </c>
      <c r="D44" s="10" t="s">
        <v>28</v>
      </c>
      <c r="E44" s="12">
        <v>462810</v>
      </c>
      <c r="F44" s="10" t="s">
        <v>17</v>
      </c>
      <c r="G44" s="10" t="s">
        <v>32</v>
      </c>
      <c r="H44" s="10" t="s">
        <v>60</v>
      </c>
      <c r="I44" s="13" t="str">
        <f t="shared" si="0"/>
        <v>OK</v>
      </c>
      <c r="J44" s="14" t="str">
        <f t="shared" si="1"/>
        <v>Success</v>
      </c>
      <c r="K44" s="15">
        <f t="shared" si="2"/>
        <v>462810</v>
      </c>
      <c r="L44" s="16">
        <f t="shared" si="3"/>
        <v>45313</v>
      </c>
      <c r="M44" s="17" t="str">
        <f t="shared" si="4"/>
        <v>Port Harcourt</v>
      </c>
    </row>
    <row r="45" spans="1:13" ht="18" customHeight="1" x14ac:dyDescent="0.2">
      <c r="A45" s="18" t="s">
        <v>87</v>
      </c>
      <c r="B45" s="19" t="s">
        <v>40</v>
      </c>
      <c r="C45" s="20">
        <v>45298</v>
      </c>
      <c r="D45" s="19" t="s">
        <v>25</v>
      </c>
      <c r="E45" s="21">
        <v>3360</v>
      </c>
      <c r="F45" s="19" t="s">
        <v>17</v>
      </c>
      <c r="G45" s="19" t="s">
        <v>22</v>
      </c>
      <c r="H45" s="19" t="s">
        <v>60</v>
      </c>
      <c r="I45" s="13" t="str">
        <f t="shared" si="0"/>
        <v>OK</v>
      </c>
      <c r="J45" s="22" t="str">
        <f t="shared" si="1"/>
        <v>Success</v>
      </c>
      <c r="K45" s="23">
        <f t="shared" si="2"/>
        <v>3360</v>
      </c>
      <c r="L45" s="24">
        <f t="shared" si="3"/>
        <v>45298</v>
      </c>
      <c r="M45" s="25" t="str">
        <f t="shared" si="4"/>
        <v>Port Harcourt</v>
      </c>
    </row>
    <row r="46" spans="1:13" ht="18" customHeight="1" x14ac:dyDescent="0.2">
      <c r="A46" s="9" t="s">
        <v>88</v>
      </c>
      <c r="B46" s="10" t="s">
        <v>89</v>
      </c>
      <c r="C46" s="11">
        <v>45300</v>
      </c>
      <c r="D46" s="10" t="s">
        <v>10</v>
      </c>
      <c r="E46" s="12">
        <v>386320</v>
      </c>
      <c r="F46" s="10" t="s">
        <v>17</v>
      </c>
      <c r="G46" s="10" t="s">
        <v>12</v>
      </c>
      <c r="H46" s="10" t="s">
        <v>13</v>
      </c>
      <c r="I46" s="13" t="str">
        <f t="shared" si="0"/>
        <v>OK</v>
      </c>
      <c r="J46" s="14" t="str">
        <f t="shared" si="1"/>
        <v>Success</v>
      </c>
      <c r="K46" s="15">
        <f t="shared" si="2"/>
        <v>386320</v>
      </c>
      <c r="L46" s="16">
        <f t="shared" si="3"/>
        <v>45300</v>
      </c>
      <c r="M46" s="17" t="str">
        <f t="shared" si="4"/>
        <v>Lagos</v>
      </c>
    </row>
    <row r="47" spans="1:13" ht="18" customHeight="1" x14ac:dyDescent="0.2">
      <c r="A47" s="18" t="s">
        <v>90</v>
      </c>
      <c r="B47" s="19" t="s">
        <v>91</v>
      </c>
      <c r="C47" s="20">
        <v>45320</v>
      </c>
      <c r="D47" s="19" t="s">
        <v>48</v>
      </c>
      <c r="E47" s="21">
        <v>1960</v>
      </c>
      <c r="F47" s="29" t="s">
        <v>31</v>
      </c>
      <c r="G47" s="19" t="s">
        <v>36</v>
      </c>
      <c r="H47" s="19" t="s">
        <v>38</v>
      </c>
      <c r="I47" s="13" t="str">
        <f t="shared" si="0"/>
        <v>OK</v>
      </c>
      <c r="J47" s="22" t="str">
        <f t="shared" si="1"/>
        <v>Success</v>
      </c>
      <c r="K47" s="23">
        <f t="shared" si="2"/>
        <v>1960</v>
      </c>
      <c r="L47" s="24">
        <f t="shared" si="3"/>
        <v>45320</v>
      </c>
      <c r="M47" s="25" t="str">
        <f t="shared" si="4"/>
        <v>Kano</v>
      </c>
    </row>
    <row r="48" spans="1:13" ht="18" customHeight="1" x14ac:dyDescent="0.2">
      <c r="A48" s="9" t="s">
        <v>92</v>
      </c>
      <c r="B48" s="10" t="s">
        <v>15</v>
      </c>
      <c r="C48" s="11">
        <v>45317</v>
      </c>
      <c r="D48" s="10" t="s">
        <v>48</v>
      </c>
      <c r="E48" s="12">
        <v>4070</v>
      </c>
      <c r="F48" s="10" t="s">
        <v>17</v>
      </c>
      <c r="G48" s="10" t="s">
        <v>22</v>
      </c>
      <c r="H48" s="10" t="s">
        <v>38</v>
      </c>
      <c r="I48" s="13" t="str">
        <f t="shared" si="0"/>
        <v>OK</v>
      </c>
      <c r="J48" s="14" t="str">
        <f t="shared" si="1"/>
        <v>Success</v>
      </c>
      <c r="K48" s="15">
        <f t="shared" si="2"/>
        <v>4070</v>
      </c>
      <c r="L48" s="16">
        <f t="shared" si="3"/>
        <v>45317</v>
      </c>
      <c r="M48" s="17" t="str">
        <f t="shared" si="4"/>
        <v>Kano</v>
      </c>
    </row>
    <row r="49" spans="1:13" ht="18" customHeight="1" x14ac:dyDescent="0.2">
      <c r="A49" s="18" t="s">
        <v>93</v>
      </c>
      <c r="B49" s="19" t="s">
        <v>70</v>
      </c>
      <c r="C49" s="20">
        <v>45314</v>
      </c>
      <c r="D49" s="19" t="s">
        <v>25</v>
      </c>
      <c r="E49" s="21">
        <v>472840</v>
      </c>
      <c r="F49" s="19" t="s">
        <v>17</v>
      </c>
      <c r="G49" s="19" t="s">
        <v>22</v>
      </c>
      <c r="H49" s="19" t="s">
        <v>38</v>
      </c>
      <c r="I49" s="13" t="str">
        <f t="shared" si="0"/>
        <v>OK</v>
      </c>
      <c r="J49" s="22" t="str">
        <f t="shared" si="1"/>
        <v>Success</v>
      </c>
      <c r="K49" s="23">
        <f t="shared" si="2"/>
        <v>472840</v>
      </c>
      <c r="L49" s="24">
        <f t="shared" si="3"/>
        <v>45314</v>
      </c>
      <c r="M49" s="25" t="str">
        <f t="shared" si="4"/>
        <v>Kano</v>
      </c>
    </row>
    <row r="50" spans="1:13" ht="18" customHeight="1" x14ac:dyDescent="0.2">
      <c r="A50" s="9" t="s">
        <v>94</v>
      </c>
      <c r="B50" s="10" t="s">
        <v>95</v>
      </c>
      <c r="C50" s="11">
        <v>45294</v>
      </c>
      <c r="D50" s="10" t="s">
        <v>48</v>
      </c>
      <c r="E50" s="12">
        <v>3070</v>
      </c>
      <c r="F50" s="10" t="s">
        <v>11</v>
      </c>
      <c r="G50" s="10" t="s">
        <v>12</v>
      </c>
      <c r="H50" s="10" t="s">
        <v>18</v>
      </c>
      <c r="I50" s="13" t="str">
        <f t="shared" si="0"/>
        <v>OK</v>
      </c>
      <c r="J50" s="14" t="str">
        <f t="shared" si="1"/>
        <v>Failed</v>
      </c>
      <c r="K50" s="15">
        <f t="shared" si="2"/>
        <v>3070</v>
      </c>
      <c r="L50" s="16">
        <f t="shared" si="3"/>
        <v>45294</v>
      </c>
      <c r="M50" s="17" t="str">
        <f t="shared" si="4"/>
        <v>Ibadan</v>
      </c>
    </row>
    <row r="51" spans="1:13" ht="18" customHeight="1" x14ac:dyDescent="0.2">
      <c r="A51" s="18" t="s">
        <v>96</v>
      </c>
      <c r="B51" s="19" t="s">
        <v>46</v>
      </c>
      <c r="C51" s="20">
        <v>45313</v>
      </c>
      <c r="D51" s="19" t="s">
        <v>25</v>
      </c>
      <c r="E51" s="21">
        <v>31370</v>
      </c>
      <c r="F51" s="19" t="s">
        <v>17</v>
      </c>
      <c r="G51" s="19" t="s">
        <v>22</v>
      </c>
      <c r="H51" s="19" t="s">
        <v>60</v>
      </c>
      <c r="I51" s="13" t="str">
        <f t="shared" si="0"/>
        <v>OK</v>
      </c>
      <c r="J51" s="22" t="str">
        <f t="shared" si="1"/>
        <v>Success</v>
      </c>
      <c r="K51" s="23">
        <f t="shared" si="2"/>
        <v>31370</v>
      </c>
      <c r="L51" s="24">
        <f t="shared" si="3"/>
        <v>45313</v>
      </c>
      <c r="M51" s="25" t="str">
        <f t="shared" si="4"/>
        <v>Port Harcourt</v>
      </c>
    </row>
    <row r="52" spans="1:13" ht="18" customHeight="1" x14ac:dyDescent="0.2">
      <c r="A52" s="9" t="s">
        <v>97</v>
      </c>
      <c r="B52" s="10" t="s">
        <v>53</v>
      </c>
      <c r="C52" s="11">
        <v>45322</v>
      </c>
      <c r="D52" s="10" t="s">
        <v>25</v>
      </c>
      <c r="E52" s="12">
        <v>45340</v>
      </c>
      <c r="F52" s="10" t="s">
        <v>17</v>
      </c>
      <c r="G52" s="10" t="s">
        <v>32</v>
      </c>
      <c r="H52" s="10" t="s">
        <v>38</v>
      </c>
      <c r="I52" s="13" t="str">
        <f t="shared" si="0"/>
        <v>OK</v>
      </c>
      <c r="J52" s="14" t="str">
        <f t="shared" si="1"/>
        <v>Success</v>
      </c>
      <c r="K52" s="15">
        <f t="shared" si="2"/>
        <v>45340</v>
      </c>
      <c r="L52" s="16">
        <f t="shared" si="3"/>
        <v>45322</v>
      </c>
      <c r="M52" s="17" t="str">
        <f t="shared" si="4"/>
        <v>Kano</v>
      </c>
    </row>
    <row r="53" spans="1:13" ht="18" customHeight="1" x14ac:dyDescent="0.2">
      <c r="A53" s="18" t="s">
        <v>98</v>
      </c>
      <c r="B53" s="19" t="s">
        <v>46</v>
      </c>
      <c r="C53" s="20">
        <v>45298</v>
      </c>
      <c r="D53" s="19" t="s">
        <v>25</v>
      </c>
      <c r="E53" s="21">
        <v>35470</v>
      </c>
      <c r="F53" s="19" t="s">
        <v>17</v>
      </c>
      <c r="G53" s="19" t="s">
        <v>36</v>
      </c>
      <c r="H53" s="19" t="s">
        <v>33</v>
      </c>
      <c r="I53" s="13" t="str">
        <f t="shared" si="0"/>
        <v>OK</v>
      </c>
      <c r="J53" s="22" t="str">
        <f t="shared" si="1"/>
        <v>Success</v>
      </c>
      <c r="K53" s="23">
        <f t="shared" si="2"/>
        <v>35470</v>
      </c>
      <c r="L53" s="24">
        <f t="shared" si="3"/>
        <v>45298</v>
      </c>
      <c r="M53" s="25" t="str">
        <f t="shared" si="4"/>
        <v>Abuja</v>
      </c>
    </row>
    <row r="55" spans="1:13" ht="12" customHeight="1" x14ac:dyDescent="0.2"/>
  </sheetData>
  <mergeCells count="3">
    <mergeCell ref="A1:M1"/>
    <mergeCell ref="A2:H2"/>
    <mergeCell ref="I2:M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E8EC-D948-5E4C-B077-9B5083699F1C}">
  <dimension ref="A1:L63"/>
  <sheetViews>
    <sheetView tabSelected="1" zoomScale="138" zoomScaleNormal="88" workbookViewId="0">
      <selection activeCell="E9" sqref="E9"/>
    </sheetView>
  </sheetViews>
  <sheetFormatPr baseColWidth="10" defaultRowHeight="15" x14ac:dyDescent="0.2"/>
  <cols>
    <col min="1" max="1" width="12.1640625" bestFit="1" customWidth="1"/>
    <col min="2" max="2" width="19.83203125" bestFit="1" customWidth="1"/>
    <col min="3" max="3" width="18.33203125" bestFit="1" customWidth="1"/>
    <col min="4" max="4" width="9.1640625" bestFit="1" customWidth="1"/>
    <col min="5" max="5" width="11.5" customWidth="1"/>
    <col min="6" max="6" width="10.1640625" bestFit="1" customWidth="1"/>
    <col min="7" max="7" width="10.33203125" bestFit="1" customWidth="1"/>
    <col min="8" max="12" width="20" customWidth="1"/>
  </cols>
  <sheetData>
    <row r="1" spans="1:12" customFormat="1" ht="16" x14ac:dyDescent="0.2">
      <c r="A1" s="4" t="s">
        <v>115</v>
      </c>
      <c r="B1" s="4"/>
      <c r="C1" s="4"/>
      <c r="D1" s="4"/>
      <c r="E1" s="4"/>
      <c r="F1" s="4"/>
      <c r="G1" s="4"/>
      <c r="H1" s="4"/>
      <c r="I1" s="4"/>
      <c r="J1" s="4"/>
      <c r="K1" s="4"/>
      <c r="L1" s="4"/>
    </row>
    <row r="2" spans="1:12" customFormat="1" x14ac:dyDescent="0.2"/>
    <row r="3" spans="1:12" customFormat="1" ht="16" x14ac:dyDescent="0.2">
      <c r="A3" s="42" t="s">
        <v>117</v>
      </c>
      <c r="B3" s="42"/>
      <c r="C3" s="42"/>
      <c r="D3" s="42"/>
      <c r="E3" s="42"/>
      <c r="F3" s="42"/>
      <c r="G3" s="42"/>
      <c r="H3" s="42"/>
    </row>
    <row r="4" spans="1:12" customFormat="1" x14ac:dyDescent="0.2"/>
    <row r="5" spans="1:12" customFormat="1" x14ac:dyDescent="0.2">
      <c r="A5" s="1" t="s">
        <v>106</v>
      </c>
      <c r="B5" s="1" t="s">
        <v>105</v>
      </c>
    </row>
    <row r="6" spans="1:12" customFormat="1" ht="16" x14ac:dyDescent="0.2">
      <c r="A6" s="38" t="s">
        <v>116</v>
      </c>
      <c r="B6" s="39" t="s">
        <v>112</v>
      </c>
      <c r="C6" s="40" t="s">
        <v>113</v>
      </c>
      <c r="D6" s="41" t="s">
        <v>114</v>
      </c>
      <c r="E6" s="38" t="s">
        <v>104</v>
      </c>
    </row>
    <row r="7" spans="1:12" customFormat="1" x14ac:dyDescent="0.2">
      <c r="A7" s="2" t="s">
        <v>36</v>
      </c>
      <c r="B7" s="3">
        <v>0</v>
      </c>
      <c r="C7" s="3">
        <v>0.25</v>
      </c>
      <c r="D7" s="3">
        <v>0.75</v>
      </c>
      <c r="E7" s="3">
        <v>1</v>
      </c>
    </row>
    <row r="8" spans="1:12" customFormat="1" x14ac:dyDescent="0.2">
      <c r="A8" s="2" t="s">
        <v>32</v>
      </c>
      <c r="B8" s="3">
        <v>0.2</v>
      </c>
      <c r="C8" s="3">
        <v>0.1</v>
      </c>
      <c r="D8" s="3">
        <v>0.7</v>
      </c>
      <c r="E8" s="3">
        <v>1</v>
      </c>
    </row>
    <row r="9" spans="1:12" customFormat="1" x14ac:dyDescent="0.2">
      <c r="A9" s="2" t="s">
        <v>22</v>
      </c>
      <c r="B9" s="3">
        <v>0.125</v>
      </c>
      <c r="C9" s="3">
        <v>6.25E-2</v>
      </c>
      <c r="D9" s="3">
        <v>0.8125</v>
      </c>
      <c r="E9" s="3">
        <v>1</v>
      </c>
    </row>
    <row r="10" spans="1:12" customFormat="1" x14ac:dyDescent="0.2">
      <c r="A10" s="2" t="s">
        <v>12</v>
      </c>
      <c r="B10" s="3">
        <v>0.3125</v>
      </c>
      <c r="C10" s="3">
        <v>6.25E-2</v>
      </c>
      <c r="D10" s="3">
        <v>0.625</v>
      </c>
      <c r="E10" s="3">
        <v>1</v>
      </c>
    </row>
    <row r="11" spans="1:12" customFormat="1" ht="16" x14ac:dyDescent="0.2">
      <c r="A11" s="36" t="s">
        <v>104</v>
      </c>
      <c r="B11" s="37">
        <v>0.18</v>
      </c>
      <c r="C11" s="37">
        <v>0.1</v>
      </c>
      <c r="D11" s="37">
        <v>0.72</v>
      </c>
      <c r="E11" s="37">
        <v>1</v>
      </c>
    </row>
    <row r="12" spans="1:12" customFormat="1" x14ac:dyDescent="0.2"/>
    <row r="13" spans="1:12" customFormat="1" x14ac:dyDescent="0.2">
      <c r="A13" s="49" t="s">
        <v>122</v>
      </c>
      <c r="B13" s="49"/>
      <c r="C13" s="49"/>
      <c r="D13" s="49"/>
      <c r="E13" s="49"/>
      <c r="F13" s="49"/>
      <c r="G13" s="49"/>
      <c r="H13" s="49"/>
    </row>
    <row r="14" spans="1:12" customFormat="1" x14ac:dyDescent="0.2"/>
    <row r="15" spans="1:12" customFormat="1" x14ac:dyDescent="0.2"/>
    <row r="16" spans="1:12" customFormat="1" x14ac:dyDescent="0.2"/>
    <row r="17" spans="1:9" customFormat="1" ht="16" x14ac:dyDescent="0.2">
      <c r="A17" s="42" t="s">
        <v>118</v>
      </c>
      <c r="B17" s="42"/>
      <c r="C17" s="42"/>
      <c r="D17" s="42"/>
      <c r="E17" s="42"/>
      <c r="F17" s="42"/>
      <c r="G17" s="42"/>
      <c r="H17" s="42"/>
    </row>
    <row r="18" spans="1:9" customFormat="1" x14ac:dyDescent="0.2"/>
    <row r="19" spans="1:9" customFormat="1" x14ac:dyDescent="0.2">
      <c r="A19" s="1" t="s">
        <v>108</v>
      </c>
      <c r="B19" s="1" t="s">
        <v>105</v>
      </c>
    </row>
    <row r="20" spans="1:9" customFormat="1" ht="16" x14ac:dyDescent="0.2">
      <c r="A20" s="38" t="s">
        <v>120</v>
      </c>
      <c r="B20" s="38" t="s">
        <v>28</v>
      </c>
      <c r="C20" s="38" t="s">
        <v>48</v>
      </c>
      <c r="D20" s="38" t="s">
        <v>16</v>
      </c>
      <c r="E20" s="38" t="s">
        <v>10</v>
      </c>
      <c r="F20" s="38" t="s">
        <v>25</v>
      </c>
      <c r="G20" s="38" t="s">
        <v>104</v>
      </c>
    </row>
    <row r="21" spans="1:9" customFormat="1" x14ac:dyDescent="0.2">
      <c r="A21" s="2" t="s">
        <v>33</v>
      </c>
      <c r="B21" s="34">
        <v>10610</v>
      </c>
      <c r="C21" s="34"/>
      <c r="D21" s="34">
        <v>420160</v>
      </c>
      <c r="E21" s="44">
        <v>268190</v>
      </c>
      <c r="F21" s="34">
        <v>463190</v>
      </c>
      <c r="G21" s="34">
        <v>1162150</v>
      </c>
    </row>
    <row r="22" spans="1:9" customFormat="1" x14ac:dyDescent="0.2">
      <c r="A22" s="2" t="s">
        <v>18</v>
      </c>
      <c r="B22" s="34">
        <v>459000</v>
      </c>
      <c r="C22" s="34">
        <v>7730</v>
      </c>
      <c r="D22" s="34">
        <v>417960</v>
      </c>
      <c r="E22" s="34"/>
      <c r="F22" s="34">
        <v>0</v>
      </c>
      <c r="G22" s="34">
        <v>884690</v>
      </c>
    </row>
    <row r="23" spans="1:9" customFormat="1" ht="16" x14ac:dyDescent="0.2">
      <c r="A23" s="2" t="s">
        <v>38</v>
      </c>
      <c r="B23" s="34">
        <v>441650</v>
      </c>
      <c r="C23" s="34">
        <v>7740</v>
      </c>
      <c r="D23" s="34">
        <v>46920</v>
      </c>
      <c r="E23" s="34">
        <v>9420</v>
      </c>
      <c r="F23" s="45">
        <v>518180</v>
      </c>
      <c r="G23" s="34">
        <v>1023910</v>
      </c>
    </row>
    <row r="24" spans="1:9" customFormat="1" ht="16" x14ac:dyDescent="0.2">
      <c r="A24" s="2" t="s">
        <v>13</v>
      </c>
      <c r="B24" s="34">
        <v>840860</v>
      </c>
      <c r="C24" s="45">
        <v>46560</v>
      </c>
      <c r="D24" s="45">
        <v>477330</v>
      </c>
      <c r="E24" s="45">
        <v>872680</v>
      </c>
      <c r="F24" s="34">
        <v>15660</v>
      </c>
      <c r="G24" s="45">
        <v>2253090</v>
      </c>
    </row>
    <row r="25" spans="1:9" customFormat="1" x14ac:dyDescent="0.2">
      <c r="A25" s="2" t="s">
        <v>60</v>
      </c>
      <c r="B25" s="34">
        <v>475990</v>
      </c>
      <c r="C25" s="34"/>
      <c r="D25" s="34"/>
      <c r="E25" s="34"/>
      <c r="F25" s="34">
        <v>39170</v>
      </c>
      <c r="G25" s="34">
        <v>515160</v>
      </c>
    </row>
    <row r="26" spans="1:9" customFormat="1" x14ac:dyDescent="0.2">
      <c r="A26" s="2" t="s">
        <v>107</v>
      </c>
      <c r="B26" s="34">
        <v>878860</v>
      </c>
      <c r="C26" s="34"/>
      <c r="D26" s="34">
        <v>4000</v>
      </c>
      <c r="E26" s="34">
        <v>112860</v>
      </c>
      <c r="F26" s="34"/>
      <c r="G26" s="34">
        <v>995720</v>
      </c>
    </row>
    <row r="27" spans="1:9" customFormat="1" ht="16" x14ac:dyDescent="0.2">
      <c r="A27" s="36" t="s">
        <v>104</v>
      </c>
      <c r="B27" s="43">
        <v>3106970</v>
      </c>
      <c r="C27" s="43">
        <v>62030</v>
      </c>
      <c r="D27" s="43">
        <v>1366370</v>
      </c>
      <c r="E27" s="43">
        <v>1263150</v>
      </c>
      <c r="F27" s="43">
        <v>1036200</v>
      </c>
      <c r="G27" s="43">
        <v>6834720</v>
      </c>
    </row>
    <row r="28" spans="1:9" customFormat="1" x14ac:dyDescent="0.2"/>
    <row r="29" spans="1:9" customFormat="1" x14ac:dyDescent="0.2">
      <c r="A29" s="50" t="s">
        <v>123</v>
      </c>
      <c r="B29" s="50"/>
      <c r="C29" s="50"/>
      <c r="D29" s="50"/>
      <c r="E29" s="50"/>
      <c r="F29" s="50"/>
      <c r="G29" s="50"/>
      <c r="H29" s="50"/>
      <c r="I29" s="50"/>
    </row>
    <row r="30" spans="1:9" customFormat="1" x14ac:dyDescent="0.2"/>
    <row r="31" spans="1:9" customFormat="1" x14ac:dyDescent="0.2"/>
    <row r="32" spans="1:9" customFormat="1" x14ac:dyDescent="0.2"/>
    <row r="33" spans="1:8" customFormat="1" x14ac:dyDescent="0.2"/>
    <row r="34" spans="1:8" customFormat="1" ht="16" x14ac:dyDescent="0.2">
      <c r="A34" s="42" t="s">
        <v>121</v>
      </c>
      <c r="B34" s="42"/>
      <c r="C34" s="42"/>
      <c r="D34" s="42"/>
      <c r="E34" s="42"/>
      <c r="F34" s="42"/>
      <c r="G34" s="42"/>
      <c r="H34" s="42"/>
    </row>
    <row r="35" spans="1:8" customFormat="1" x14ac:dyDescent="0.2">
      <c r="A35" s="51" t="s">
        <v>124</v>
      </c>
      <c r="B35" s="51"/>
      <c r="C35" s="51"/>
      <c r="D35" s="51"/>
    </row>
    <row r="36" spans="1:8" customFormat="1" ht="16" x14ac:dyDescent="0.2">
      <c r="A36" s="38" t="s">
        <v>99</v>
      </c>
      <c r="B36" s="38" t="s">
        <v>106</v>
      </c>
      <c r="C36" s="38" t="s">
        <v>108</v>
      </c>
    </row>
    <row r="37" spans="1:8" customFormat="1" x14ac:dyDescent="0.2">
      <c r="A37" s="46">
        <v>45293</v>
      </c>
      <c r="B37" s="35">
        <v>1</v>
      </c>
      <c r="C37" s="34">
        <v>10610</v>
      </c>
    </row>
    <row r="38" spans="1:8" customFormat="1" x14ac:dyDescent="0.2">
      <c r="A38" s="46">
        <v>45294</v>
      </c>
      <c r="B38" s="35">
        <v>1</v>
      </c>
      <c r="C38" s="34">
        <v>3070</v>
      </c>
    </row>
    <row r="39" spans="1:8" customFormat="1" x14ac:dyDescent="0.2">
      <c r="A39" s="46">
        <v>45295</v>
      </c>
      <c r="B39" s="35">
        <v>1</v>
      </c>
      <c r="C39" s="34">
        <v>4660</v>
      </c>
    </row>
    <row r="40" spans="1:8" customFormat="1" x14ac:dyDescent="0.2">
      <c r="A40" s="46">
        <v>45296</v>
      </c>
      <c r="B40" s="35">
        <v>4</v>
      </c>
      <c r="C40" s="34">
        <v>448020</v>
      </c>
    </row>
    <row r="41" spans="1:8" customFormat="1" x14ac:dyDescent="0.2">
      <c r="A41" s="46">
        <v>45298</v>
      </c>
      <c r="B41" s="35">
        <v>4</v>
      </c>
      <c r="C41" s="34">
        <v>45680</v>
      </c>
    </row>
    <row r="42" spans="1:8" customFormat="1" x14ac:dyDescent="0.2">
      <c r="A42" s="46">
        <v>45299</v>
      </c>
      <c r="B42" s="35">
        <v>1</v>
      </c>
      <c r="C42" s="34">
        <v>358440</v>
      </c>
    </row>
    <row r="43" spans="1:8" customFormat="1" x14ac:dyDescent="0.2">
      <c r="A43" s="46">
        <v>45300</v>
      </c>
      <c r="B43" s="35">
        <v>2</v>
      </c>
      <c r="C43" s="34">
        <v>401980</v>
      </c>
    </row>
    <row r="44" spans="1:8" customFormat="1" x14ac:dyDescent="0.2">
      <c r="A44" s="46">
        <v>45301</v>
      </c>
      <c r="B44" s="35">
        <v>1</v>
      </c>
      <c r="C44" s="34">
        <v>435740</v>
      </c>
    </row>
    <row r="45" spans="1:8" customFormat="1" x14ac:dyDescent="0.2">
      <c r="A45" s="46">
        <v>45302</v>
      </c>
      <c r="B45" s="35">
        <v>1</v>
      </c>
      <c r="C45" s="34">
        <v>29900</v>
      </c>
    </row>
    <row r="46" spans="1:8" customFormat="1" x14ac:dyDescent="0.2">
      <c r="A46" s="46">
        <v>45304</v>
      </c>
      <c r="B46" s="35">
        <v>1</v>
      </c>
      <c r="C46" s="34">
        <v>2960</v>
      </c>
    </row>
    <row r="47" spans="1:8" customFormat="1" x14ac:dyDescent="0.2">
      <c r="A47" s="46">
        <v>45305</v>
      </c>
      <c r="B47" s="35">
        <v>4</v>
      </c>
      <c r="C47" s="34">
        <v>449150</v>
      </c>
    </row>
    <row r="48" spans="1:8" customFormat="1" x14ac:dyDescent="0.2">
      <c r="A48" s="46">
        <v>45306</v>
      </c>
      <c r="B48" s="35">
        <v>3</v>
      </c>
      <c r="C48" s="34">
        <v>568460</v>
      </c>
    </row>
    <row r="49" spans="1:3" customFormat="1" x14ac:dyDescent="0.2">
      <c r="A49" s="46">
        <v>45307</v>
      </c>
      <c r="B49" s="35">
        <v>2</v>
      </c>
      <c r="C49" s="34">
        <v>755890</v>
      </c>
    </row>
    <row r="50" spans="1:3" customFormat="1" x14ac:dyDescent="0.2">
      <c r="A50" s="46">
        <v>45308</v>
      </c>
      <c r="B50" s="35">
        <v>1</v>
      </c>
      <c r="C50" s="34">
        <v>402160</v>
      </c>
    </row>
    <row r="51" spans="1:3" customFormat="1" x14ac:dyDescent="0.2">
      <c r="A51" s="46">
        <v>45310</v>
      </c>
      <c r="B51" s="35">
        <v>1</v>
      </c>
      <c r="C51" s="34">
        <v>4620</v>
      </c>
    </row>
    <row r="52" spans="1:3" customFormat="1" x14ac:dyDescent="0.2">
      <c r="A52" s="46">
        <v>45311</v>
      </c>
      <c r="B52" s="35">
        <v>1</v>
      </c>
      <c r="C52" s="34">
        <v>112860</v>
      </c>
    </row>
    <row r="53" spans="1:3" customFormat="1" x14ac:dyDescent="0.2">
      <c r="A53" s="46">
        <v>45312</v>
      </c>
      <c r="B53" s="35">
        <v>2</v>
      </c>
      <c r="C53" s="34">
        <v>28930</v>
      </c>
    </row>
    <row r="54" spans="1:3" customFormat="1" x14ac:dyDescent="0.2">
      <c r="A54" s="46">
        <v>45313</v>
      </c>
      <c r="B54" s="35">
        <v>4</v>
      </c>
      <c r="C54" s="34">
        <v>953180</v>
      </c>
    </row>
    <row r="55" spans="1:3" customFormat="1" x14ac:dyDescent="0.2">
      <c r="A55" s="46">
        <v>45314</v>
      </c>
      <c r="B55" s="35">
        <v>4</v>
      </c>
      <c r="C55" s="34">
        <v>577160</v>
      </c>
    </row>
    <row r="56" spans="1:3" customFormat="1" x14ac:dyDescent="0.2">
      <c r="A56" s="46">
        <v>45315</v>
      </c>
      <c r="B56" s="35">
        <v>1</v>
      </c>
      <c r="C56" s="34">
        <v>261090</v>
      </c>
    </row>
    <row r="57" spans="1:3" customFormat="1" x14ac:dyDescent="0.2">
      <c r="A57" s="46">
        <v>45316</v>
      </c>
      <c r="B57" s="35">
        <v>1</v>
      </c>
      <c r="C57" s="34">
        <v>7100</v>
      </c>
    </row>
    <row r="58" spans="1:3" customFormat="1" x14ac:dyDescent="0.2">
      <c r="A58" s="46">
        <v>45317</v>
      </c>
      <c r="B58" s="35">
        <v>2</v>
      </c>
      <c r="C58" s="34">
        <v>395980</v>
      </c>
    </row>
    <row r="59" spans="1:3" customFormat="1" x14ac:dyDescent="0.2">
      <c r="A59" s="46">
        <v>45318</v>
      </c>
      <c r="B59" s="35">
        <v>1</v>
      </c>
      <c r="C59" s="34">
        <v>1710</v>
      </c>
    </row>
    <row r="60" spans="1:3" customFormat="1" x14ac:dyDescent="0.2">
      <c r="A60" s="46">
        <v>45320</v>
      </c>
      <c r="B60" s="35">
        <v>1</v>
      </c>
      <c r="C60" s="34">
        <v>1960</v>
      </c>
    </row>
    <row r="61" spans="1:3" customFormat="1" x14ac:dyDescent="0.2">
      <c r="A61" s="46">
        <v>45321</v>
      </c>
      <c r="B61" s="35">
        <v>2</v>
      </c>
      <c r="C61" s="34">
        <v>459460</v>
      </c>
    </row>
    <row r="62" spans="1:3" customFormat="1" x14ac:dyDescent="0.2">
      <c r="A62" s="46">
        <v>45322</v>
      </c>
      <c r="B62" s="35">
        <v>3</v>
      </c>
      <c r="C62" s="34">
        <v>113950</v>
      </c>
    </row>
    <row r="63" spans="1:3" ht="16" x14ac:dyDescent="0.2">
      <c r="A63" s="47" t="s">
        <v>104</v>
      </c>
      <c r="B63" s="48">
        <v>50</v>
      </c>
      <c r="C63" s="43">
        <v>6834720</v>
      </c>
    </row>
  </sheetData>
  <mergeCells count="6">
    <mergeCell ref="A34:H34"/>
    <mergeCell ref="A13:H13"/>
    <mergeCell ref="A29:I29"/>
    <mergeCell ref="A3:H3"/>
    <mergeCell ref="A17:H17"/>
    <mergeCell ref="A1:L1"/>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F489E-7497-F64C-B2F2-632A15EEA02E}">
  <dimension ref="A1"/>
  <sheetViews>
    <sheetView workbookViewId="0"/>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cleaned_data</vt:lpstr>
      <vt:lpstr>pivot_analysis</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Kensimon Ezike</cp:lastModifiedBy>
  <cp:revision>0</cp:revision>
  <dcterms:created xsi:type="dcterms:W3CDTF">2026-05-06T23:11:36Z</dcterms:created>
  <dcterms:modified xsi:type="dcterms:W3CDTF">2026-05-14T15:51:48Z</dcterms:modified>
  <dc:language>en-US</dc:language>
</cp:coreProperties>
</file>